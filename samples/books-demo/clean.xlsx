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Synthèse" sheetId="2" state="visible" r:id="rId2"/>
  </sheets>
  <definedNames>
    <definedName name="_xlnm._FilterDatabase" localSheetId="0" hidden="1">'Catalogue'!$A$1:$F$101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b val="1"/>
      <color rgb="002F549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talogue" displayName="Catalogue" ref="A1:F101" headerRowCount="1">
  <autoFilter ref="A1:F101"/>
  <tableColumns count="6">
    <tableColumn id="1" name="Titre"/>
    <tableColumn id="2" name="Prix (GBP)"/>
    <tableColumn id="3" name="Disponibilité"/>
    <tableColumn id="4" name="Note /5"/>
    <tableColumn id="5" name="URL source"/>
    <tableColumn id="6" name="Pag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-light-in-the-attic_1000/index.html" TargetMode="External" Id="rId1" /><Relationship Type="http://schemas.openxmlformats.org/officeDocument/2006/relationships/hyperlink" Target="https://books.toscrape.com/catalogue/tipping-the-velvet_999/index.html" TargetMode="External" Id="rId2" /><Relationship Type="http://schemas.openxmlformats.org/officeDocument/2006/relationships/hyperlink" Target="https://books.toscrape.com/catalogue/soumission_998/index.html" TargetMode="External" Id="rId3" /><Relationship Type="http://schemas.openxmlformats.org/officeDocument/2006/relationships/hyperlink" Target="https://books.toscrape.com/catalogue/sharp-objects_997/index.html" TargetMode="External" Id="rId4" /><Relationship Type="http://schemas.openxmlformats.org/officeDocument/2006/relationships/hyperlink" Target="https://books.toscrape.com/catalogue/sapiens-a-brief-history-of-humankind_996/index.html" TargetMode="External" Id="rId5" /><Relationship Type="http://schemas.openxmlformats.org/officeDocument/2006/relationships/hyperlink" Target="https://books.toscrape.com/catalogue/the-requiem-red_995/index.html" TargetMode="External" Id="rId6" /><Relationship Type="http://schemas.openxmlformats.org/officeDocument/2006/relationships/hyperlink" Target="https://books.toscrape.com/catalogue/the-dirty-little-secrets-of-getting-your-dream-job_994/index.html" TargetMode="External" Id="rId7" /><Relationship Type="http://schemas.openxmlformats.org/officeDocument/2006/relationships/hyperlink" Target="https://books.toscrape.com/catalogue/the-coming-woman-a-novel-based-on-the-life-of-the-infamous-feminist-victoria-woodhull_993/index.html" TargetMode="External" Id="rId8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s://books.toscrape.com/catalogue/the-black-maria_991/index.html" TargetMode="External" Id="rId10" /><Relationship Type="http://schemas.openxmlformats.org/officeDocument/2006/relationships/hyperlink" Target="https://books.toscrape.com/catalogue/starving-hearts-triangular-trade-trilogy-1_990/index.html" TargetMode="External" Id="rId11" /><Relationship Type="http://schemas.openxmlformats.org/officeDocument/2006/relationships/hyperlink" Target="https://books.toscrape.com/catalogue/shakespeares-sonnets_989/index.html" TargetMode="External" Id="rId12" /><Relationship Type="http://schemas.openxmlformats.org/officeDocument/2006/relationships/hyperlink" Target="https://books.toscrape.com/catalogue/set-me-free_988/index.html" TargetMode="External" Id="rId13" /><Relationship Type="http://schemas.openxmlformats.org/officeDocument/2006/relationships/hyperlink" Target="https://books.toscrape.com/catalogue/scott-pilgrims-precious-little-life-scott-pilgrim-1_987/index.html" TargetMode="External" Id="rId14" /><Relationship Type="http://schemas.openxmlformats.org/officeDocument/2006/relationships/hyperlink" Target="https://books.toscrape.com/catalogue/rip-it-up-and-start-again_986/index.html" TargetMode="External" Id="rId15" /><Relationship Type="http://schemas.openxmlformats.org/officeDocument/2006/relationships/hyperlink" Target="https://books.toscrape.com/catalogue/our-band-could-be-your-life-scenes-from-the-american-indie-underground-1981-1991_985/index.html" TargetMode="External" Id="rId16" /><Relationship Type="http://schemas.openxmlformats.org/officeDocument/2006/relationships/hyperlink" Target="https://books.toscrape.com/catalogue/olio_984/index.html" TargetMode="External" Id="rId17" /><Relationship Type="http://schemas.openxmlformats.org/officeDocument/2006/relationships/hyperlink" Target="https://books.toscrape.com/catalogue/mesaerion-the-best-science-fiction-stories-1800-1849_983/index.html" TargetMode="External" Id="rId18" /><Relationship Type="http://schemas.openxmlformats.org/officeDocument/2006/relationships/hyperlink" Target="https://books.toscrape.com/catalogue/libertarianism-for-beginners_982/index.html" TargetMode="External" Id="rId19" /><Relationship Type="http://schemas.openxmlformats.org/officeDocument/2006/relationships/hyperlink" Target="https://books.toscrape.com/catalogue/its-only-the-himalayas_981/index.html" TargetMode="External" Id="rId20" /><Relationship Type="http://schemas.openxmlformats.org/officeDocument/2006/relationships/hyperlink" Target="https://books.toscrape.com/catalogue/in-her-wake_980/index.html" TargetMode="External" Id="rId21" /><Relationship Type="http://schemas.openxmlformats.org/officeDocument/2006/relationships/hyperlink" Target="https://books.toscrape.com/catalogue/how-music-works_979/index.html" TargetMode="External" Id="rId22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s://books.toscrape.com/catalogue/chase-me-paris-nights-2_977/index.html" TargetMode="External" Id="rId24" /><Relationship Type="http://schemas.openxmlformats.org/officeDocument/2006/relationships/hyperlink" Target="https://books.toscrape.com/catalogue/black-dust_976/index.html" TargetMode="External" Id="rId25" /><Relationship Type="http://schemas.openxmlformats.org/officeDocument/2006/relationships/hyperlink" Target="https://books.toscrape.com/catalogue/birdsong-a-story-in-pictures_975/index.html" TargetMode="External" Id="rId26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s://books.toscrape.com/catalogue/aladdin-and-his-wonderful-lamp_973/index.html" TargetMode="External" Id="rId28" /><Relationship Type="http://schemas.openxmlformats.org/officeDocument/2006/relationships/hyperlink" Target="https://books.toscrape.com/catalogue/worlds-elsewhere-journeys-around-shakespeares-globe_972/index.html" TargetMode="External" Id="rId29" /><Relationship Type="http://schemas.openxmlformats.org/officeDocument/2006/relationships/hyperlink" Target="https://books.toscrape.com/catalogue/wall-and-piece_971/index.html" TargetMode="External" Id="rId30" /><Relationship Type="http://schemas.openxmlformats.org/officeDocument/2006/relationships/hyperlink" Target="https://books.toscrape.com/catalogue/the-four-agreements-a-practical-guide-to-personal-freedom_970/index.html" TargetMode="External" Id="rId31" /><Relationship Type="http://schemas.openxmlformats.org/officeDocument/2006/relationships/hyperlink" Target="https://books.toscrape.com/catalogue/the-five-love-languages-how-to-express-heartfelt-commitment-to-your-mate_969/index.html" TargetMode="External" Id="rId32" /><Relationship Type="http://schemas.openxmlformats.org/officeDocument/2006/relationships/hyperlink" Target="https://books.toscrape.com/catalogue/the-elephant-tree_968/index.html" TargetMode="External" Id="rId33" /><Relationship Type="http://schemas.openxmlformats.org/officeDocument/2006/relationships/hyperlink" Target="https://books.toscrape.com/catalogue/the-bear-and-the-piano_967/index.html" TargetMode="External" Id="rId34" /><Relationship Type="http://schemas.openxmlformats.org/officeDocument/2006/relationships/hyperlink" Target="https://books.toscrape.com/catalogue/sophies-world_966/index.html" TargetMode="External" Id="rId35" /><Relationship Type="http://schemas.openxmlformats.org/officeDocument/2006/relationships/hyperlink" Target="https://books.toscrape.com/catalogue/penny-maybe_965/index.html" TargetMode="External" Id="rId36" /><Relationship Type="http://schemas.openxmlformats.org/officeDocument/2006/relationships/hyperlink" Target="https://books.toscrape.com/catalogue/maude-1883-1993she-grew-up-with-the-country_964/index.html" TargetMode="External" Id="rId37" /><Relationship Type="http://schemas.openxmlformats.org/officeDocument/2006/relationships/hyperlink" Target="https://books.toscrape.com/catalogue/in-a-dark-dark-wood_963/index.html" TargetMode="External" Id="rId38" /><Relationship Type="http://schemas.openxmlformats.org/officeDocument/2006/relationships/hyperlink" Target="https://books.toscrape.com/catalogue/behind-closed-doors_962/index.html" TargetMode="External" Id="rId39" /><Relationship Type="http://schemas.openxmlformats.org/officeDocument/2006/relationships/hyperlink" Target="https://books.toscrape.com/catalogue/you-cant-bury-them-all-poems_961/index.html" TargetMode="External" Id="rId40" /><Relationship Type="http://schemas.openxmlformats.org/officeDocument/2006/relationships/hyperlink" Target="https://books.toscrape.com/catalogue/slow-states-of-collapse-poems_960/index.html" TargetMode="External" Id="rId41" /><Relationship Type="http://schemas.openxmlformats.org/officeDocument/2006/relationships/hyperlink" Target="https://books.toscrape.com/catalogue/reasons-to-stay-alive_959/index.html" TargetMode="External" Id="rId42" /><Relationship Type="http://schemas.openxmlformats.org/officeDocument/2006/relationships/hyperlink" Target="https://books.toscrape.com/catalogue/private-paris-private-10_958/index.html" TargetMode="External" Id="rId43" /><Relationship Type="http://schemas.openxmlformats.org/officeDocument/2006/relationships/hyperlink" Target="https://books.toscrape.com/catalogue/higherselfie-wake-up-your-life-free-your-soul-find-your-tribe_957/index.html" TargetMode="External" Id="rId44" /><Relationship Type="http://schemas.openxmlformats.org/officeDocument/2006/relationships/hyperlink" Target="https://books.toscrape.com/catalogue/without-borders-wanderlove-1_956/index.html" TargetMode="External" Id="rId45" /><Relationship Type="http://schemas.openxmlformats.org/officeDocument/2006/relationships/hyperlink" Target="https://books.toscrape.com/catalogue/when-we-collided_955/index.html" TargetMode="External" Id="rId46" /><Relationship Type="http://schemas.openxmlformats.org/officeDocument/2006/relationships/hyperlink" Target="https://books.toscrape.com/catalogue/we-love-you-charlie-freeman_954/index.html" TargetMode="External" Id="rId47" /><Relationship Type="http://schemas.openxmlformats.org/officeDocument/2006/relationships/hyperlink" Target="https://books.toscrape.com/catalogue/untitled-collection-sabbath-poems-2014_953/index.html" TargetMode="External" Id="rId48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49" /><Relationship Type="http://schemas.openxmlformats.org/officeDocument/2006/relationships/hyperlink" Target="https://books.toscrape.com/catalogue/unicorn-tracks_951/index.html" TargetMode="External" Id="rId5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51" /><Relationship Type="http://schemas.openxmlformats.org/officeDocument/2006/relationships/hyperlink" Target="https://books.toscrape.com/catalogue/tsubasa-world-chronicle-2-tsubasa-world-chronicle-2_949/index.html" TargetMode="External" Id="rId52" /><Relationship Type="http://schemas.openxmlformats.org/officeDocument/2006/relationships/hyperlink" Target="https://books.toscrape.com/catalogue/throwing-rocks-at-the-google-bus-how-growth-became-the-enemy-of-prosperity_948/index.html" TargetMode="External" Id="rId53" /><Relationship Type="http://schemas.openxmlformats.org/officeDocument/2006/relationships/hyperlink" Target="https://books.toscrape.com/catalogue/this-one-summer_947/index.html" TargetMode="External" Id="rId54" /><Relationship Type="http://schemas.openxmlformats.org/officeDocument/2006/relationships/hyperlink" Target="https://books.toscrape.com/catalogue/thirst_946/index.html" TargetMode="External" Id="rId55" /><Relationship Type="http://schemas.openxmlformats.org/officeDocument/2006/relationships/hyperlink" Target="https://books.toscrape.com/catalogue/the-torch-is-passed-a-harding-family-story_945/index.html" TargetMode="External" Id="rId56" /><Relationship Type="http://schemas.openxmlformats.org/officeDocument/2006/relationships/hyperlink" Target="https://books.toscrape.com/catalogue/the-secret-of-dreadwillow-carse_944/index.html" TargetMode="External" Id="rId57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58" /><Relationship Type="http://schemas.openxmlformats.org/officeDocument/2006/relationships/hyperlink" Target="https://books.toscrape.com/catalogue/the-past-never-ends_942/index.html" TargetMode="External" Id="rId59" /><Relationship Type="http://schemas.openxmlformats.org/officeDocument/2006/relationships/hyperlink" Target="https://books.toscrape.com/catalogue/the-natural-history-of-us-the-fine-art-of-pretending-2_941/index.html" TargetMode="External" Id="rId60" /><Relationship Type="http://schemas.openxmlformats.org/officeDocument/2006/relationships/hyperlink" Target="https://books.toscrape.com/catalogue/the-nameless-city-the-nameless-city-1_940/index.html" TargetMode="External" Id="rId61" /><Relationship Type="http://schemas.openxmlformats.org/officeDocument/2006/relationships/hyperlink" Target="https://books.toscrape.com/catalogue/the-murder-that-never-was-forensic-instincts-5_939/index.html" TargetMode="External" Id="rId62" /><Relationship Type="http://schemas.openxmlformats.org/officeDocument/2006/relationships/hyperlink" Target="https://books.toscrape.com/catalogue/the-most-perfect-thing-inside-and-outside-a-birds-egg_938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life-changing-magic-of-tidying-up-the-japanese-art-of-decluttering-and-organizing_936/index.html" TargetMode="External" Id="rId65" /><Relationship Type="http://schemas.openxmlformats.org/officeDocument/2006/relationships/hyperlink" Target="https://books.toscrape.com/catalogue/the-inefficiency-assassin-time-management-tactics-for-working-smarter-not-longer_935/index.html" TargetMode="External" Id="rId66" /><Relationship Type="http://schemas.openxmlformats.org/officeDocument/2006/relationships/hyperlink" Target="https://books.toscrape.com/catalogue/the-gutsy-girl-escapades-for-your-life-of-epic-adventure_934/index.html" TargetMode="External" Id="rId67" /><Relationship Type="http://schemas.openxmlformats.org/officeDocument/2006/relationships/hyperlink" Target="https://books.toscrape.com/catalogue/the-electric-pencil-drawings-from-inside-state-hospital-no-3_933/index.html" TargetMode="External" Id="rId68" /><Relationship Type="http://schemas.openxmlformats.org/officeDocument/2006/relationships/hyperlink" Target="https://books.toscrape.com/catalogue/the-death-of-humanity-and-the-case-for-life_932/index.html" TargetMode="External" Id="rId69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70" /><Relationship Type="http://schemas.openxmlformats.org/officeDocument/2006/relationships/hyperlink" Target="https://books.toscrape.com/catalogue/the-art-forger_930/index.html" TargetMode="External" Id="rId71" /><Relationship Type="http://schemas.openxmlformats.org/officeDocument/2006/relationships/hyperlink" Target="https://books.toscrape.com/catalogue/the-age-of-genius-the-seventeenth-century-and-the-birth-of-the-modern-mind_929/index.html" TargetMode="External" Id="rId72" /><Relationship Type="http://schemas.openxmlformats.org/officeDocument/2006/relationships/hyperlink" Target="https://books.toscrape.com/catalogue/the-activists-tao-te-ching-ancient-advice-for-a-modern-revolution_928/index.html" TargetMode="External" Id="rId73" /><Relationship Type="http://schemas.openxmlformats.org/officeDocument/2006/relationships/hyperlink" Target="https://books.toscrape.com/catalogue/spark-joy-an-illustrated-master-class-on-the-art-of-organizing-and-tidying-up_927/index.html" TargetMode="External" Id="rId74" /><Relationship Type="http://schemas.openxmlformats.org/officeDocument/2006/relationships/hyperlink" Target="https://books.toscrape.com/catalogue/soul-reader_926/index.html" TargetMode="External" Id="rId75" /><Relationship Type="http://schemas.openxmlformats.org/officeDocument/2006/relationships/hyperlink" Target="https://books.toscrape.com/catalogue/security_925/index.html" TargetMode="External" Id="rId76" /><Relationship Type="http://schemas.openxmlformats.org/officeDocument/2006/relationships/hyperlink" Target="https://books.toscrape.com/catalogue/saga-volume-6-saga-collected-editions-6_924/index.html" TargetMode="External" Id="rId77" /><Relationship Type="http://schemas.openxmlformats.org/officeDocument/2006/relationships/hyperlink" Target="https://books.toscrape.com/catalogue/saga-volume-5-saga-collected-editions-5_923/index.html" TargetMode="External" Id="rId78" /><Relationship Type="http://schemas.openxmlformats.org/officeDocument/2006/relationships/hyperlink" Target="https://books.toscrape.com/catalogue/reskilling-america-learning-to-labor-in-the-twenty-first-century_922/index.html" TargetMode="External" Id="rId79" /><Relationship Type="http://schemas.openxmlformats.org/officeDocument/2006/relationships/hyperlink" Target="https://books.toscrape.com/catalogue/rat-queens-vol-3-demons-rat-queens-collected-editions-11-15_921/index.html" TargetMode="External" Id="rId80" /><Relationship Type="http://schemas.openxmlformats.org/officeDocument/2006/relationships/hyperlink" Target="https://books.toscrape.com/catalogue/princess-jellyfish-2-in-1-omnibus-vol-01-princess-jellyfish-2-in-1-omnibus-1_920/index.html" TargetMode="External" Id="rId81" /><Relationship Type="http://schemas.openxmlformats.org/officeDocument/2006/relationships/hyperlink" Target="https://books.toscrape.com/catalogue/princess-between-worlds-wide-awake-princess-5_919/index.html" TargetMode="External" Id="rId82" /><Relationship Type="http://schemas.openxmlformats.org/officeDocument/2006/relationships/hyperlink" Target="https://books.toscrape.com/catalogue/pop-gun-war-volume-1-gift_918/index.html" TargetMode="External" Id="rId83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4" /><Relationship Type="http://schemas.openxmlformats.org/officeDocument/2006/relationships/hyperlink" Target="https://books.toscrape.com/catalogue/patience_916/index.html" TargetMode="External" Id="rId85" /><Relationship Type="http://schemas.openxmlformats.org/officeDocument/2006/relationships/hyperlink" Target="https://books.toscrape.com/catalogue/outcast-vol-1-a-darkness-surrounds-him-outcast-1_915/index.html" TargetMode="External" Id="rId86" /><Relationship Type="http://schemas.openxmlformats.org/officeDocument/2006/relationships/hyperlink" Target="https://books.toscrape.com/catalogue/orange-the-complete-collection-1-orange-the-complete-collection-1_914/index.html" TargetMode="External" Id="rId87" /><Relationship Type="http://schemas.openxmlformats.org/officeDocument/2006/relationships/hyperlink" Target="https://books.toscrape.com/catalogue/online-marketing-for-busy-authors-a-step-by-step-guide_913/index.html" TargetMode="External" Id="rId88" /><Relationship Type="http://schemas.openxmlformats.org/officeDocument/2006/relationships/hyperlink" Target="https://books.toscrape.com/catalogue/on-a-midnight-clear_912/index.html" TargetMode="External" Id="rId89" /><Relationship Type="http://schemas.openxmlformats.org/officeDocument/2006/relationships/hyperlink" Target="https://books.toscrape.com/catalogue/obsidian-lux-1_911/index.html" TargetMode="External" Id="rId90" /><Relationship Type="http://schemas.openxmlformats.org/officeDocument/2006/relationships/hyperlink" Target="https://books.toscrape.com/catalogue/my-paris-kitchen-recipes-and-stories_910/index.html" TargetMode="External" Id="rId91" /><Relationship Type="http://schemas.openxmlformats.org/officeDocument/2006/relationships/hyperlink" Target="https://books.toscrape.com/catalogue/masks-and-shadows_909/index.html" TargetMode="External" Id="rId92" /><Relationship Type="http://schemas.openxmlformats.org/officeDocument/2006/relationships/hyperlink" Target="https://books.toscrape.com/catalogue/mama-tried-traditional-italian-cooking-for-the-screwed-crude-vegan-and-tattooed_908/index.html" TargetMode="External" Id="rId93" /><Relationship Type="http://schemas.openxmlformats.org/officeDocument/2006/relationships/hyperlink" Target="https://books.toscrape.com/catalogue/lumberjanes-vol-2-friendship-to-the-max-lumberjanes-5-8_907/index.html" TargetMode="External" Id="rId94" /><Relationship Type="http://schemas.openxmlformats.org/officeDocument/2006/relationships/hyperlink" Target="https://books.toscrape.com/catalogue/lumberjanes-vol-1-beware-the-kitten-holy-lumberjanes-1-4_906/index.html" TargetMode="External" Id="rId95" /><Relationship Type="http://schemas.openxmlformats.org/officeDocument/2006/relationships/hyperlink" Target="https://books.toscrape.com/catalogue/lumberjanes-vol-3-a-terrible-plan-lumberjanes-9-12_905/index.html" TargetMode="External" Id="rId96" /><Relationship Type="http://schemas.openxmlformats.org/officeDocument/2006/relationships/hyperlink" Target="https://books.toscrape.com/catalogue/layered-baking-building-and-styling-spectacular-cakes_904/index.html" TargetMode="External" Id="rId97" /><Relationship Type="http://schemas.openxmlformats.org/officeDocument/2006/relationships/hyperlink" Target="https://books.toscrape.com/catalogue/judo-seven-steps-to-black-belt-an-introductory-guide-for-beginners_903/index.html" TargetMode="External" Id="rId98" /><Relationship Type="http://schemas.openxmlformats.org/officeDocument/2006/relationships/hyperlink" Target="https://books.toscrape.com/catalogue/join_902/index.html" TargetMode="External" Id="rId99" /><Relationship Type="http://schemas.openxmlformats.org/officeDocument/2006/relationships/hyperlink" Target="https://books.toscrape.com/catalogue/in-the-country-we-love-my-family-divided_901/index.html" TargetMode="External" Id="rId100" /><Relationship Type="http://schemas.openxmlformats.org/officeDocument/2006/relationships/table" Target="/xl/tables/table1.xml" Id="rId10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  <col width="16" customWidth="1" min="3" max="3"/>
    <col width="9" customWidth="1" min="4" max="4"/>
    <col width="58" customWidth="1" min="5" max="5"/>
    <col width="7" customWidth="1" min="6" max="6"/>
  </cols>
  <sheetData>
    <row r="1" ht="22" customHeight="1">
      <c r="A1" s="1" t="inlineStr">
        <is>
          <t>Titre</t>
        </is>
      </c>
      <c r="B1" s="1" t="inlineStr">
        <is>
          <t>Prix (GBP)</t>
        </is>
      </c>
      <c r="C1" s="1" t="inlineStr">
        <is>
          <t>Disponibilité</t>
        </is>
      </c>
      <c r="D1" s="1" t="inlineStr">
        <is>
          <t>Note /5</t>
        </is>
      </c>
      <c r="E1" s="1" t="inlineStr">
        <is>
          <t>URL source</t>
        </is>
      </c>
      <c r="F1" s="1" t="inlineStr">
        <is>
          <t>Page</t>
        </is>
      </c>
    </row>
    <row r="2">
      <c r="A2" s="2" t="inlineStr">
        <is>
          <t>A Light in the Attic</t>
        </is>
      </c>
      <c r="B2" s="3" t="n">
        <v>51.77</v>
      </c>
      <c r="C2" s="4" t="inlineStr">
        <is>
          <t>In stock</t>
        </is>
      </c>
      <c r="D2" s="4" t="n">
        <v>3</v>
      </c>
      <c r="E2" s="5" t="inlineStr">
        <is>
          <t>https://books.toscrape.com/catalogue/a-light-in-the-attic_1000/index.html</t>
        </is>
      </c>
      <c r="F2" s="4" t="n">
        <v>1</v>
      </c>
    </row>
    <row r="3">
      <c r="A3" s="2" t="inlineStr">
        <is>
          <t>Tipping the Velvet</t>
        </is>
      </c>
      <c r="B3" s="3" t="n">
        <v>53.74</v>
      </c>
      <c r="C3" s="4" t="inlineStr">
        <is>
          <t>In stock</t>
        </is>
      </c>
      <c r="D3" s="4" t="n">
        <v>1</v>
      </c>
      <c r="E3" s="5" t="inlineStr">
        <is>
          <t>https://books.toscrape.com/catalogue/tipping-the-velvet_999/index.html</t>
        </is>
      </c>
      <c r="F3" s="4" t="n">
        <v>1</v>
      </c>
    </row>
    <row r="4">
      <c r="A4" s="2" t="inlineStr">
        <is>
          <t>Soumission</t>
        </is>
      </c>
      <c r="B4" s="3" t="n">
        <v>50.1</v>
      </c>
      <c r="C4" s="4" t="inlineStr">
        <is>
          <t>In stock</t>
        </is>
      </c>
      <c r="D4" s="4" t="n">
        <v>1</v>
      </c>
      <c r="E4" s="5" t="inlineStr">
        <is>
          <t>https://books.toscrape.com/catalogue/soumission_998/index.html</t>
        </is>
      </c>
      <c r="F4" s="4" t="n">
        <v>1</v>
      </c>
    </row>
    <row r="5">
      <c r="A5" s="2" t="inlineStr">
        <is>
          <t>Sharp Objects</t>
        </is>
      </c>
      <c r="B5" s="3" t="n">
        <v>47.82</v>
      </c>
      <c r="C5" s="4" t="inlineStr">
        <is>
          <t>In stock</t>
        </is>
      </c>
      <c r="D5" s="4" t="n">
        <v>4</v>
      </c>
      <c r="E5" s="5" t="inlineStr">
        <is>
          <t>https://books.toscrape.com/catalogue/sharp-objects_997/index.html</t>
        </is>
      </c>
      <c r="F5" s="4" t="n">
        <v>1</v>
      </c>
    </row>
    <row r="6">
      <c r="A6" s="2" t="inlineStr">
        <is>
          <t>Sapiens: A Brief History of Humankind</t>
        </is>
      </c>
      <c r="B6" s="3" t="n">
        <v>54.23</v>
      </c>
      <c r="C6" s="4" t="inlineStr">
        <is>
          <t>In stock</t>
        </is>
      </c>
      <c r="D6" s="4" t="n">
        <v>5</v>
      </c>
      <c r="E6" s="5" t="inlineStr">
        <is>
          <t>https://books.toscrape.com/catalogue/sapiens-a-brief-history-of-humankind_996/index.html</t>
        </is>
      </c>
      <c r="F6" s="4" t="n">
        <v>1</v>
      </c>
    </row>
    <row r="7">
      <c r="A7" s="2" t="inlineStr">
        <is>
          <t>The Requiem Red</t>
        </is>
      </c>
      <c r="B7" s="3" t="n">
        <v>22.65</v>
      </c>
      <c r="C7" s="4" t="inlineStr">
        <is>
          <t>In stock</t>
        </is>
      </c>
      <c r="D7" s="4" t="n">
        <v>1</v>
      </c>
      <c r="E7" s="5" t="inlineStr">
        <is>
          <t>https://books.toscrape.com/catalogue/the-requiem-red_995/index.html</t>
        </is>
      </c>
      <c r="F7" s="4" t="n">
        <v>1</v>
      </c>
    </row>
    <row r="8">
      <c r="A8" s="2" t="inlineStr">
        <is>
          <t>The Dirty Little Secrets of Getting Your Dream Job</t>
        </is>
      </c>
      <c r="B8" s="3" t="n">
        <v>33.34</v>
      </c>
      <c r="C8" s="4" t="inlineStr">
        <is>
          <t>In stock</t>
        </is>
      </c>
      <c r="D8" s="4" t="n">
        <v>4</v>
      </c>
      <c r="E8" s="5" t="inlineStr">
        <is>
          <t>https://books.toscrape.com/catalogue/the-dirty-little-secrets-of-getting-your-dream-job_994/index.html</t>
        </is>
      </c>
      <c r="F8" s="4" t="n">
        <v>1</v>
      </c>
    </row>
    <row r="9">
      <c r="A9" s="2" t="inlineStr">
        <is>
          <t>The Coming Woman: A Novel Based on the Life of the Infamous Feminist, Victoria Woodhull</t>
        </is>
      </c>
      <c r="B9" s="3" t="n">
        <v>17.93</v>
      </c>
      <c r="C9" s="4" t="inlineStr">
        <is>
          <t>In stock</t>
        </is>
      </c>
      <c r="D9" s="4" t="n">
        <v>3</v>
      </c>
      <c r="E9" s="5" t="inlineStr">
        <is>
          <t>https://books.toscrape.com/catalogue/the-coming-woman-a-novel-based-on-the-life-of-the-infamous-feminist-victoria-woodhull_993/index.html</t>
        </is>
      </c>
      <c r="F9" s="4" t="n">
        <v>1</v>
      </c>
    </row>
    <row r="10">
      <c r="A10" s="2" t="inlineStr">
        <is>
          <t>The Boys in the Boat: Nine Americans and Their Epic Quest for Gold at the 1936 Berlin Olympics</t>
        </is>
      </c>
      <c r="B10" s="3" t="n">
        <v>22.6</v>
      </c>
      <c r="C10" s="4" t="inlineStr">
        <is>
          <t>In stock</t>
        </is>
      </c>
      <c r="D10" s="4" t="n">
        <v>4</v>
      </c>
      <c r="E10" s="5" t="inlineStr">
        <is>
          <t>https://books.toscrape.com/catalogue/the-boys-in-the-boat-nine-americans-and-their-epic-quest-for-gold-at-the-1936-berlin-olympics_992/index.html</t>
        </is>
      </c>
      <c r="F10" s="4" t="n">
        <v>1</v>
      </c>
    </row>
    <row r="11">
      <c r="A11" s="2" t="inlineStr">
        <is>
          <t>The Black Maria</t>
        </is>
      </c>
      <c r="B11" s="3" t="n">
        <v>52.15</v>
      </c>
      <c r="C11" s="4" t="inlineStr">
        <is>
          <t>In stock</t>
        </is>
      </c>
      <c r="D11" s="4" t="n">
        <v>1</v>
      </c>
      <c r="E11" s="5" t="inlineStr">
        <is>
          <t>https://books.toscrape.com/catalogue/the-black-maria_991/index.html</t>
        </is>
      </c>
      <c r="F11" s="4" t="n">
        <v>1</v>
      </c>
    </row>
    <row r="12">
      <c r="A12" s="2" t="inlineStr">
        <is>
          <t>Starving Hearts (Triangular Trade Trilogy, #1)</t>
        </is>
      </c>
      <c r="B12" s="3" t="n">
        <v>13.99</v>
      </c>
      <c r="C12" s="4" t="inlineStr">
        <is>
          <t>In stock</t>
        </is>
      </c>
      <c r="D12" s="4" t="n">
        <v>2</v>
      </c>
      <c r="E12" s="5" t="inlineStr">
        <is>
          <t>https://books.toscrape.com/catalogue/starving-hearts-triangular-trade-trilogy-1_990/index.html</t>
        </is>
      </c>
      <c r="F12" s="4" t="n">
        <v>1</v>
      </c>
    </row>
    <row r="13">
      <c r="A13" s="2" t="inlineStr">
        <is>
          <t>Shakespeare's Sonnets</t>
        </is>
      </c>
      <c r="B13" s="3" t="n">
        <v>20.66</v>
      </c>
      <c r="C13" s="4" t="inlineStr">
        <is>
          <t>In stock</t>
        </is>
      </c>
      <c r="D13" s="4" t="n">
        <v>4</v>
      </c>
      <c r="E13" s="5" t="inlineStr">
        <is>
          <t>https://books.toscrape.com/catalogue/shakespeares-sonnets_989/index.html</t>
        </is>
      </c>
      <c r="F13" s="4" t="n">
        <v>1</v>
      </c>
    </row>
    <row r="14">
      <c r="A14" s="2" t="inlineStr">
        <is>
          <t>Set Me Free</t>
        </is>
      </c>
      <c r="B14" s="3" t="n">
        <v>17.46</v>
      </c>
      <c r="C14" s="4" t="inlineStr">
        <is>
          <t>In stock</t>
        </is>
      </c>
      <c r="D14" s="4" t="n">
        <v>5</v>
      </c>
      <c r="E14" s="5" t="inlineStr">
        <is>
          <t>https://books.toscrape.com/catalogue/set-me-free_988/index.html</t>
        </is>
      </c>
      <c r="F14" s="4" t="n">
        <v>1</v>
      </c>
    </row>
    <row r="15">
      <c r="A15" s="2" t="inlineStr">
        <is>
          <t>Scott Pilgrim's Precious Little Life (Scott Pilgrim #1)</t>
        </is>
      </c>
      <c r="B15" s="3" t="n">
        <v>52.29</v>
      </c>
      <c r="C15" s="4" t="inlineStr">
        <is>
          <t>In stock</t>
        </is>
      </c>
      <c r="D15" s="4" t="n">
        <v>5</v>
      </c>
      <c r="E15" s="5" t="inlineStr">
        <is>
          <t>https://books.toscrape.com/catalogue/scott-pilgrims-precious-little-life-scott-pilgrim-1_987/index.html</t>
        </is>
      </c>
      <c r="F15" s="4" t="n">
        <v>1</v>
      </c>
    </row>
    <row r="16">
      <c r="A16" s="2" t="inlineStr">
        <is>
          <t>Rip it Up and Start Again</t>
        </is>
      </c>
      <c r="B16" s="3" t="n">
        <v>35.02</v>
      </c>
      <c r="C16" s="4" t="inlineStr">
        <is>
          <t>In stock</t>
        </is>
      </c>
      <c r="D16" s="4" t="n">
        <v>5</v>
      </c>
      <c r="E16" s="5" t="inlineStr">
        <is>
          <t>https://books.toscrape.com/catalogue/rip-it-up-and-start-again_986/index.html</t>
        </is>
      </c>
      <c r="F16" s="4" t="n">
        <v>1</v>
      </c>
    </row>
    <row r="17">
      <c r="A17" s="2" t="inlineStr">
        <is>
          <t>Our Band Could Be Your Life: Scenes from the American Indie Underground, 1981-1991</t>
        </is>
      </c>
      <c r="B17" s="3" t="n">
        <v>57.25</v>
      </c>
      <c r="C17" s="4" t="inlineStr">
        <is>
          <t>In stock</t>
        </is>
      </c>
      <c r="D17" s="4" t="n">
        <v>3</v>
      </c>
      <c r="E17" s="5" t="inlineStr">
        <is>
          <t>https://books.toscrape.com/catalogue/our-band-could-be-your-life-scenes-from-the-american-indie-underground-1981-1991_985/index.html</t>
        </is>
      </c>
      <c r="F17" s="4" t="n">
        <v>1</v>
      </c>
    </row>
    <row r="18">
      <c r="A18" s="2" t="inlineStr">
        <is>
          <t>Olio</t>
        </is>
      </c>
      <c r="B18" s="3" t="n">
        <v>23.88</v>
      </c>
      <c r="C18" s="4" t="inlineStr">
        <is>
          <t>In stock</t>
        </is>
      </c>
      <c r="D18" s="4" t="n">
        <v>1</v>
      </c>
      <c r="E18" s="5" t="inlineStr">
        <is>
          <t>https://books.toscrape.com/catalogue/olio_984/index.html</t>
        </is>
      </c>
      <c r="F18" s="4" t="n">
        <v>1</v>
      </c>
    </row>
    <row r="19">
      <c r="A19" s="2" t="inlineStr">
        <is>
          <t>Mesaerion: The Best Science Fiction Stories 1800-1849</t>
        </is>
      </c>
      <c r="B19" s="3" t="n">
        <v>37.59</v>
      </c>
      <c r="C19" s="4" t="inlineStr">
        <is>
          <t>In stock</t>
        </is>
      </c>
      <c r="D19" s="4" t="n">
        <v>1</v>
      </c>
      <c r="E19" s="5" t="inlineStr">
        <is>
          <t>https://books.toscrape.com/catalogue/mesaerion-the-best-science-fiction-stories-1800-1849_983/index.html</t>
        </is>
      </c>
      <c r="F19" s="4" t="n">
        <v>1</v>
      </c>
    </row>
    <row r="20">
      <c r="A20" s="2" t="inlineStr">
        <is>
          <t>Libertarianism for Beginners</t>
        </is>
      </c>
      <c r="B20" s="3" t="n">
        <v>51.33</v>
      </c>
      <c r="C20" s="4" t="inlineStr">
        <is>
          <t>In stock</t>
        </is>
      </c>
      <c r="D20" s="4" t="n">
        <v>2</v>
      </c>
      <c r="E20" s="5" t="inlineStr">
        <is>
          <t>https://books.toscrape.com/catalogue/libertarianism-for-beginners_982/index.html</t>
        </is>
      </c>
      <c r="F20" s="4" t="n">
        <v>1</v>
      </c>
    </row>
    <row r="21">
      <c r="A21" s="2" t="inlineStr">
        <is>
          <t>It's Only the Himalayas</t>
        </is>
      </c>
      <c r="B21" s="3" t="n">
        <v>45.17</v>
      </c>
      <c r="C21" s="4" t="inlineStr">
        <is>
          <t>In stock</t>
        </is>
      </c>
      <c r="D21" s="4" t="n">
        <v>2</v>
      </c>
      <c r="E21" s="5" t="inlineStr">
        <is>
          <t>https://books.toscrape.com/catalogue/its-only-the-himalayas_981/index.html</t>
        </is>
      </c>
      <c r="F21" s="4" t="n">
        <v>1</v>
      </c>
    </row>
    <row r="22">
      <c r="A22" s="2" t="inlineStr">
        <is>
          <t>In Her Wake</t>
        </is>
      </c>
      <c r="B22" s="3" t="n">
        <v>12.84</v>
      </c>
      <c r="C22" s="4" t="inlineStr">
        <is>
          <t>In stock</t>
        </is>
      </c>
      <c r="D22" s="4" t="n">
        <v>1</v>
      </c>
      <c r="E22" s="5" t="inlineStr">
        <is>
          <t>https://books.toscrape.com/catalogue/in-her-wake_980/index.html</t>
        </is>
      </c>
      <c r="F22" s="4" t="n">
        <v>2</v>
      </c>
    </row>
    <row r="23">
      <c r="A23" s="2" t="inlineStr">
        <is>
          <t>How Music Works</t>
        </is>
      </c>
      <c r="B23" s="3" t="n">
        <v>37.32</v>
      </c>
      <c r="C23" s="4" t="inlineStr">
        <is>
          <t>In stock</t>
        </is>
      </c>
      <c r="D23" s="4" t="n">
        <v>2</v>
      </c>
      <c r="E23" s="5" t="inlineStr">
        <is>
          <t>https://books.toscrape.com/catalogue/how-music-works_979/index.html</t>
        </is>
      </c>
      <c r="F23" s="4" t="n">
        <v>2</v>
      </c>
    </row>
    <row r="24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3" t="n">
        <v>30.52</v>
      </c>
      <c r="C24" s="4" t="inlineStr">
        <is>
          <t>In stock</t>
        </is>
      </c>
      <c r="D24" s="4" t="n">
        <v>3</v>
      </c>
      <c r="E24" s="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s="4" t="n">
        <v>2</v>
      </c>
    </row>
    <row r="25">
      <c r="A25" s="2" t="inlineStr">
        <is>
          <t>Chase Me (Paris Nights #2)</t>
        </is>
      </c>
      <c r="B25" s="3" t="n">
        <v>25.27</v>
      </c>
      <c r="C25" s="4" t="inlineStr">
        <is>
          <t>In stock</t>
        </is>
      </c>
      <c r="D25" s="4" t="n">
        <v>5</v>
      </c>
      <c r="E25" s="5" t="inlineStr">
        <is>
          <t>https://books.toscrape.com/catalogue/chase-me-paris-nights-2_977/index.html</t>
        </is>
      </c>
      <c r="F25" s="4" t="n">
        <v>2</v>
      </c>
    </row>
    <row r="26">
      <c r="A26" s="2" t="inlineStr">
        <is>
          <t>Black Dust</t>
        </is>
      </c>
      <c r="B26" s="3" t="n">
        <v>34.53</v>
      </c>
      <c r="C26" s="4" t="inlineStr">
        <is>
          <t>In stock</t>
        </is>
      </c>
      <c r="D26" s="4" t="n">
        <v>5</v>
      </c>
      <c r="E26" s="5" t="inlineStr">
        <is>
          <t>https://books.toscrape.com/catalogue/black-dust_976/index.html</t>
        </is>
      </c>
      <c r="F26" s="4" t="n">
        <v>2</v>
      </c>
    </row>
    <row r="27">
      <c r="A27" s="2" t="inlineStr">
        <is>
          <t>Birdsong: A Story in Pictures</t>
        </is>
      </c>
      <c r="B27" s="3" t="n">
        <v>54.64</v>
      </c>
      <c r="C27" s="4" t="inlineStr">
        <is>
          <t>In stock</t>
        </is>
      </c>
      <c r="D27" s="4" t="n">
        <v>3</v>
      </c>
      <c r="E27" s="5" t="inlineStr">
        <is>
          <t>https://books.toscrape.com/catalogue/birdsong-a-story-in-pictures_975/index.html</t>
        </is>
      </c>
      <c r="F27" s="4" t="n">
        <v>2</v>
      </c>
    </row>
    <row r="28">
      <c r="A28" s="2" t="inlineStr">
        <is>
          <t>America's Cradle of Quarterbacks: Western Pennsylvania's Football Factory from Johnny Unitas to Joe Montana</t>
        </is>
      </c>
      <c r="B28" s="3" t="n">
        <v>22.5</v>
      </c>
      <c r="C28" s="4" t="inlineStr">
        <is>
          <t>In stock</t>
        </is>
      </c>
      <c r="D28" s="4" t="n">
        <v>3</v>
      </c>
      <c r="E28" s="5" t="inlineStr">
        <is>
          <t>https://books.toscrape.com/catalogue/americas-cradle-of-quarterbacks-western-pennsylvanias-football-factory-from-johnny-unitas-to-joe-montana_974/index.html</t>
        </is>
      </c>
      <c r="F28" s="4" t="n">
        <v>2</v>
      </c>
    </row>
    <row r="29">
      <c r="A29" s="2" t="inlineStr">
        <is>
          <t>Aladdin and His Wonderful Lamp</t>
        </is>
      </c>
      <c r="B29" s="3" t="n">
        <v>53.13</v>
      </c>
      <c r="C29" s="4" t="inlineStr">
        <is>
          <t>In stock</t>
        </is>
      </c>
      <c r="D29" s="4" t="n">
        <v>3</v>
      </c>
      <c r="E29" s="5" t="inlineStr">
        <is>
          <t>https://books.toscrape.com/catalogue/aladdin-and-his-wonderful-lamp_973/index.html</t>
        </is>
      </c>
      <c r="F29" s="4" t="n">
        <v>2</v>
      </c>
    </row>
    <row r="30">
      <c r="A30" s="2" t="inlineStr">
        <is>
          <t>Worlds Elsewhere: Journeys Around Shakespeare’s Globe</t>
        </is>
      </c>
      <c r="B30" s="3" t="n">
        <v>40.3</v>
      </c>
      <c r="C30" s="4" t="inlineStr">
        <is>
          <t>In stock</t>
        </is>
      </c>
      <c r="D30" s="4" t="n">
        <v>5</v>
      </c>
      <c r="E30" s="5" t="inlineStr">
        <is>
          <t>https://books.toscrape.com/catalogue/worlds-elsewhere-journeys-around-shakespeares-globe_972/index.html</t>
        </is>
      </c>
      <c r="F30" s="4" t="n">
        <v>2</v>
      </c>
    </row>
    <row r="31">
      <c r="A31" s="2" t="inlineStr">
        <is>
          <t>Wall and Piece</t>
        </is>
      </c>
      <c r="B31" s="3" t="n">
        <v>44.18</v>
      </c>
      <c r="C31" s="4" t="inlineStr">
        <is>
          <t>In stock</t>
        </is>
      </c>
      <c r="D31" s="4" t="n">
        <v>4</v>
      </c>
      <c r="E31" s="5" t="inlineStr">
        <is>
          <t>https://books.toscrape.com/catalogue/wall-and-piece_971/index.html</t>
        </is>
      </c>
      <c r="F31" s="4" t="n">
        <v>2</v>
      </c>
    </row>
    <row r="32">
      <c r="A32" s="2" t="inlineStr">
        <is>
          <t>The Four Agreements: A Practical Guide to Personal Freedom</t>
        </is>
      </c>
      <c r="B32" s="3" t="n">
        <v>17.66</v>
      </c>
      <c r="C32" s="4" t="inlineStr">
        <is>
          <t>In stock</t>
        </is>
      </c>
      <c r="D32" s="4" t="n">
        <v>5</v>
      </c>
      <c r="E32" s="5" t="inlineStr">
        <is>
          <t>https://books.toscrape.com/catalogue/the-four-agreements-a-practical-guide-to-personal-freedom_970/index.html</t>
        </is>
      </c>
      <c r="F32" s="4" t="n">
        <v>2</v>
      </c>
    </row>
    <row r="33">
      <c r="A33" s="2" t="inlineStr">
        <is>
          <t>The Five Love Languages: How to Express Heartfelt Commitment to Your Mate</t>
        </is>
      </c>
      <c r="B33" s="3" t="n">
        <v>31.05</v>
      </c>
      <c r="C33" s="4" t="inlineStr">
        <is>
          <t>In stock</t>
        </is>
      </c>
      <c r="D33" s="4" t="n">
        <v>3</v>
      </c>
      <c r="E33" s="5" t="inlineStr">
        <is>
          <t>https://books.toscrape.com/catalogue/the-five-love-languages-how-to-express-heartfelt-commitment-to-your-mate_969/index.html</t>
        </is>
      </c>
      <c r="F33" s="4" t="n">
        <v>2</v>
      </c>
    </row>
    <row r="34">
      <c r="A34" s="2" t="inlineStr">
        <is>
          <t>The Elephant Tree</t>
        </is>
      </c>
      <c r="B34" s="3" t="n">
        <v>23.82</v>
      </c>
      <c r="C34" s="4" t="inlineStr">
        <is>
          <t>In stock</t>
        </is>
      </c>
      <c r="D34" s="4" t="n">
        <v>5</v>
      </c>
      <c r="E34" s="5" t="inlineStr">
        <is>
          <t>https://books.toscrape.com/catalogue/the-elephant-tree_968/index.html</t>
        </is>
      </c>
      <c r="F34" s="4" t="n">
        <v>2</v>
      </c>
    </row>
    <row r="35">
      <c r="A35" s="2" t="inlineStr">
        <is>
          <t>The Bear and the Piano</t>
        </is>
      </c>
      <c r="B35" s="3" t="n">
        <v>36.89</v>
      </c>
      <c r="C35" s="4" t="inlineStr">
        <is>
          <t>In stock</t>
        </is>
      </c>
      <c r="D35" s="4" t="n">
        <v>1</v>
      </c>
      <c r="E35" s="5" t="inlineStr">
        <is>
          <t>https://books.toscrape.com/catalogue/the-bear-and-the-piano_967/index.html</t>
        </is>
      </c>
      <c r="F35" s="4" t="n">
        <v>2</v>
      </c>
    </row>
    <row r="36">
      <c r="A36" s="2" t="inlineStr">
        <is>
          <t>Sophie's World</t>
        </is>
      </c>
      <c r="B36" s="3" t="n">
        <v>15.94</v>
      </c>
      <c r="C36" s="4" t="inlineStr">
        <is>
          <t>In stock</t>
        </is>
      </c>
      <c r="D36" s="4" t="n">
        <v>5</v>
      </c>
      <c r="E36" s="5" t="inlineStr">
        <is>
          <t>https://books.toscrape.com/catalogue/sophies-world_966/index.html</t>
        </is>
      </c>
      <c r="F36" s="4" t="n">
        <v>2</v>
      </c>
    </row>
    <row r="37">
      <c r="A37" s="2" t="inlineStr">
        <is>
          <t>Penny Maybe</t>
        </is>
      </c>
      <c r="B37" s="3" t="n">
        <v>33.29</v>
      </c>
      <c r="C37" s="4" t="inlineStr">
        <is>
          <t>In stock</t>
        </is>
      </c>
      <c r="D37" s="4" t="n">
        <v>3</v>
      </c>
      <c r="E37" s="5" t="inlineStr">
        <is>
          <t>https://books.toscrape.com/catalogue/penny-maybe_965/index.html</t>
        </is>
      </c>
      <c r="F37" s="4" t="n">
        <v>2</v>
      </c>
    </row>
    <row r="38">
      <c r="A38" s="2" t="inlineStr">
        <is>
          <t>Maude (1883-1993):She Grew Up with the country</t>
        </is>
      </c>
      <c r="B38" s="3" t="n">
        <v>18.02</v>
      </c>
      <c r="C38" s="4" t="inlineStr">
        <is>
          <t>In stock</t>
        </is>
      </c>
      <c r="D38" s="4" t="n">
        <v>2</v>
      </c>
      <c r="E38" s="5" t="inlineStr">
        <is>
          <t>https://books.toscrape.com/catalogue/maude-1883-1993she-grew-up-with-the-country_964/index.html</t>
        </is>
      </c>
      <c r="F38" s="4" t="n">
        <v>2</v>
      </c>
    </row>
    <row r="39">
      <c r="A39" s="2" t="inlineStr">
        <is>
          <t>In a Dark, Dark Wood</t>
        </is>
      </c>
      <c r="B39" s="3" t="n">
        <v>19.63</v>
      </c>
      <c r="C39" s="4" t="inlineStr">
        <is>
          <t>In stock</t>
        </is>
      </c>
      <c r="D39" s="4" t="n">
        <v>1</v>
      </c>
      <c r="E39" s="5" t="inlineStr">
        <is>
          <t>https://books.toscrape.com/catalogue/in-a-dark-dark-wood_963/index.html</t>
        </is>
      </c>
      <c r="F39" s="4" t="n">
        <v>2</v>
      </c>
    </row>
    <row r="40">
      <c r="A40" s="2" t="inlineStr">
        <is>
          <t>Behind Closed Doors</t>
        </is>
      </c>
      <c r="B40" s="3" t="n">
        <v>52.22</v>
      </c>
      <c r="C40" s="4" t="inlineStr">
        <is>
          <t>In stock</t>
        </is>
      </c>
      <c r="D40" s="4" t="n">
        <v>4</v>
      </c>
      <c r="E40" s="5" t="inlineStr">
        <is>
          <t>https://books.toscrape.com/catalogue/behind-closed-doors_962/index.html</t>
        </is>
      </c>
      <c r="F40" s="4" t="n">
        <v>2</v>
      </c>
    </row>
    <row r="41">
      <c r="A41" s="2" t="inlineStr">
        <is>
          <t>You can't bury them all: Poems</t>
        </is>
      </c>
      <c r="B41" s="3" t="n">
        <v>33.63</v>
      </c>
      <c r="C41" s="4" t="inlineStr">
        <is>
          <t>In stock</t>
        </is>
      </c>
      <c r="D41" s="4" t="n">
        <v>2</v>
      </c>
      <c r="E41" s="5" t="inlineStr">
        <is>
          <t>https://books.toscrape.com/catalogue/you-cant-bury-them-all-poems_961/index.html</t>
        </is>
      </c>
      <c r="F41" s="4" t="n">
        <v>2</v>
      </c>
    </row>
    <row r="42">
      <c r="A42" s="2" t="inlineStr">
        <is>
          <t>Slow States of Collapse: Poems</t>
        </is>
      </c>
      <c r="B42" s="3" t="n">
        <v>57.31</v>
      </c>
      <c r="C42" s="4" t="inlineStr">
        <is>
          <t>In stock</t>
        </is>
      </c>
      <c r="D42" s="4" t="n">
        <v>3</v>
      </c>
      <c r="E42" s="5" t="inlineStr">
        <is>
          <t>https://books.toscrape.com/catalogue/slow-states-of-collapse-poems_960/index.html</t>
        </is>
      </c>
      <c r="F42" s="4" t="n">
        <v>3</v>
      </c>
    </row>
    <row r="43">
      <c r="A43" s="2" t="inlineStr">
        <is>
          <t>Reasons to Stay Alive</t>
        </is>
      </c>
      <c r="B43" s="3" t="n">
        <v>26.41</v>
      </c>
      <c r="C43" s="4" t="inlineStr">
        <is>
          <t>In stock</t>
        </is>
      </c>
      <c r="D43" s="4" t="n">
        <v>2</v>
      </c>
      <c r="E43" s="5" t="inlineStr">
        <is>
          <t>https://books.toscrape.com/catalogue/reasons-to-stay-alive_959/index.html</t>
        </is>
      </c>
      <c r="F43" s="4" t="n">
        <v>3</v>
      </c>
    </row>
    <row r="44">
      <c r="A44" s="2" t="inlineStr">
        <is>
          <t>Private Paris (Private #10)</t>
        </is>
      </c>
      <c r="B44" s="3" t="n">
        <v>47.61</v>
      </c>
      <c r="C44" s="4" t="inlineStr">
        <is>
          <t>In stock</t>
        </is>
      </c>
      <c r="D44" s="4" t="n">
        <v>5</v>
      </c>
      <c r="E44" s="5" t="inlineStr">
        <is>
          <t>https://books.toscrape.com/catalogue/private-paris-private-10_958/index.html</t>
        </is>
      </c>
      <c r="F44" s="4" t="n">
        <v>3</v>
      </c>
    </row>
    <row r="45">
      <c r="A45" s="2" t="inlineStr">
        <is>
          <t>#HigherSelfie: Wake Up Your Life. Free Your Soul. Find Your Tribe.</t>
        </is>
      </c>
      <c r="B45" s="3" t="n">
        <v>23.11</v>
      </c>
      <c r="C45" s="4" t="inlineStr">
        <is>
          <t>In stock</t>
        </is>
      </c>
      <c r="D45" s="4" t="n">
        <v>5</v>
      </c>
      <c r="E45" s="5" t="inlineStr">
        <is>
          <t>https://books.toscrape.com/catalogue/higherselfie-wake-up-your-life-free-your-soul-find-your-tribe_957/index.html</t>
        </is>
      </c>
      <c r="F45" s="4" t="n">
        <v>3</v>
      </c>
    </row>
    <row r="46">
      <c r="A46" s="2" t="inlineStr">
        <is>
          <t>Without Borders (Wanderlove #1)</t>
        </is>
      </c>
      <c r="B46" s="3" t="n">
        <v>45.07</v>
      </c>
      <c r="C46" s="4" t="inlineStr">
        <is>
          <t>In stock</t>
        </is>
      </c>
      <c r="D46" s="4" t="n">
        <v>2</v>
      </c>
      <c r="E46" s="5" t="inlineStr">
        <is>
          <t>https://books.toscrape.com/catalogue/without-borders-wanderlove-1_956/index.html</t>
        </is>
      </c>
      <c r="F46" s="4" t="n">
        <v>3</v>
      </c>
    </row>
    <row r="47">
      <c r="A47" s="2" t="inlineStr">
        <is>
          <t>When We Collided</t>
        </is>
      </c>
      <c r="B47" s="3" t="n">
        <v>31.77</v>
      </c>
      <c r="C47" s="4" t="inlineStr">
        <is>
          <t>In stock</t>
        </is>
      </c>
      <c r="D47" s="4" t="n">
        <v>1</v>
      </c>
      <c r="E47" s="5" t="inlineStr">
        <is>
          <t>https://books.toscrape.com/catalogue/when-we-collided_955/index.html</t>
        </is>
      </c>
      <c r="F47" s="4" t="n">
        <v>3</v>
      </c>
    </row>
    <row r="48">
      <c r="A48" s="2" t="inlineStr">
        <is>
          <t>We Love You, Charlie Freeman</t>
        </is>
      </c>
      <c r="B48" s="3" t="n">
        <v>50.27</v>
      </c>
      <c r="C48" s="4" t="inlineStr">
        <is>
          <t>In stock</t>
        </is>
      </c>
      <c r="D48" s="4" t="n">
        <v>5</v>
      </c>
      <c r="E48" s="5" t="inlineStr">
        <is>
          <t>https://books.toscrape.com/catalogue/we-love-you-charlie-freeman_954/index.html</t>
        </is>
      </c>
      <c r="F48" s="4" t="n">
        <v>3</v>
      </c>
    </row>
    <row r="49">
      <c r="A49" s="2" t="inlineStr">
        <is>
          <t>Untitled Collection: Sabbath Poems 2014</t>
        </is>
      </c>
      <c r="B49" s="3" t="n">
        <v>14.27</v>
      </c>
      <c r="C49" s="4" t="inlineStr">
        <is>
          <t>In stock</t>
        </is>
      </c>
      <c r="D49" s="4" t="n">
        <v>4</v>
      </c>
      <c r="E49" s="5" t="inlineStr">
        <is>
          <t>https://books.toscrape.com/catalogue/untitled-collection-sabbath-poems-2014_953/index.html</t>
        </is>
      </c>
      <c r="F49" s="4" t="n">
        <v>3</v>
      </c>
    </row>
    <row r="50">
      <c r="A50" s="2" t="inlineStr">
        <is>
          <t>Unseen City: The Majesty of Pigeons, the Discreet Charm of Snails &amp; Other Wonders of the Urban Wilderness</t>
        </is>
      </c>
      <c r="B50" s="3" t="n">
        <v>44.18</v>
      </c>
      <c r="C50" s="4" t="inlineStr">
        <is>
          <t>In stock</t>
        </is>
      </c>
      <c r="D50" s="4" t="n">
        <v>4</v>
      </c>
      <c r="E50" s="5" t="inlineStr">
        <is>
          <t>https://books.toscrape.com/catalogue/unseen-city-the-majesty-of-pigeons-the-discreet-charm-of-snails-other-wonders-of-the-urban-wilderness_952/index.html</t>
        </is>
      </c>
      <c r="F50" s="4" t="n">
        <v>3</v>
      </c>
    </row>
    <row r="51">
      <c r="A51" s="2" t="inlineStr">
        <is>
          <t>Unicorn Tracks</t>
        </is>
      </c>
      <c r="B51" s="3" t="n">
        <v>18.78</v>
      </c>
      <c r="C51" s="4" t="inlineStr">
        <is>
          <t>In stock</t>
        </is>
      </c>
      <c r="D51" s="4" t="n">
        <v>3</v>
      </c>
      <c r="E51" s="5" t="inlineStr">
        <is>
          <t>https://books.toscrape.com/catalogue/unicorn-tracks_951/index.html</t>
        </is>
      </c>
      <c r="F51" s="4" t="n">
        <v>3</v>
      </c>
    </row>
    <row r="52">
      <c r="A52" s="2" t="inlineStr">
        <is>
          <t>Unbound: How Eight Technologies Made Us Human, Transformed Society, and Brought Our World to the Brink</t>
        </is>
      </c>
      <c r="B52" s="3" t="n">
        <v>25.52</v>
      </c>
      <c r="C52" s="4" t="inlineStr">
        <is>
          <t>In stock</t>
        </is>
      </c>
      <c r="D52" s="4" t="n">
        <v>1</v>
      </c>
      <c r="E52" s="5" t="inlineStr">
        <is>
          <t>https://books.toscrape.com/catalogue/unbound-how-eight-technologies-made-us-human-transformed-society-and-brought-our-world-to-the-brink_950/index.html</t>
        </is>
      </c>
      <c r="F52" s="4" t="n">
        <v>3</v>
      </c>
    </row>
    <row r="53">
      <c r="A53" s="2" t="inlineStr">
        <is>
          <t>Tsubasa: WoRLD CHRoNiCLE 2 (Tsubasa WoRLD CHRoNiCLE #2)</t>
        </is>
      </c>
      <c r="B53" s="3" t="n">
        <v>16.28</v>
      </c>
      <c r="C53" s="4" t="inlineStr">
        <is>
          <t>In stock</t>
        </is>
      </c>
      <c r="D53" s="4" t="n">
        <v>1</v>
      </c>
      <c r="E53" s="5" t="inlineStr">
        <is>
          <t>https://books.toscrape.com/catalogue/tsubasa-world-chronicle-2-tsubasa-world-chronicle-2_949/index.html</t>
        </is>
      </c>
      <c r="F53" s="4" t="n">
        <v>3</v>
      </c>
    </row>
    <row r="54">
      <c r="A54" s="2" t="inlineStr">
        <is>
          <t>Throwing Rocks at the Google Bus: How Growth Became the Enemy of Prosperity</t>
        </is>
      </c>
      <c r="B54" s="3" t="n">
        <v>31.12</v>
      </c>
      <c r="C54" s="4" t="inlineStr">
        <is>
          <t>In stock</t>
        </is>
      </c>
      <c r="D54" s="4" t="n">
        <v>3</v>
      </c>
      <c r="E54" s="5" t="inlineStr">
        <is>
          <t>https://books.toscrape.com/catalogue/throwing-rocks-at-the-google-bus-how-growth-became-the-enemy-of-prosperity_948/index.html</t>
        </is>
      </c>
      <c r="F54" s="4" t="n">
        <v>3</v>
      </c>
    </row>
    <row r="55">
      <c r="A55" s="2" t="inlineStr">
        <is>
          <t>This One Summer</t>
        </is>
      </c>
      <c r="B55" s="3" t="n">
        <v>19.49</v>
      </c>
      <c r="C55" s="4" t="inlineStr">
        <is>
          <t>In stock</t>
        </is>
      </c>
      <c r="D55" s="4" t="n">
        <v>4</v>
      </c>
      <c r="E55" s="5" t="inlineStr">
        <is>
          <t>https://books.toscrape.com/catalogue/this-one-summer_947/index.html</t>
        </is>
      </c>
      <c r="F55" s="4" t="n">
        <v>3</v>
      </c>
    </row>
    <row r="56">
      <c r="A56" s="2" t="inlineStr">
        <is>
          <t>Thirst</t>
        </is>
      </c>
      <c r="B56" s="3" t="n">
        <v>17.27</v>
      </c>
      <c r="C56" s="4" t="inlineStr">
        <is>
          <t>In stock</t>
        </is>
      </c>
      <c r="D56" s="4" t="n">
        <v>5</v>
      </c>
      <c r="E56" s="5" t="inlineStr">
        <is>
          <t>https://books.toscrape.com/catalogue/thirst_946/index.html</t>
        </is>
      </c>
      <c r="F56" s="4" t="n">
        <v>3</v>
      </c>
    </row>
    <row r="57">
      <c r="A57" s="2" t="inlineStr">
        <is>
          <t>The Torch Is Passed: A Harding Family Story</t>
        </is>
      </c>
      <c r="B57" s="3" t="n">
        <v>19.09</v>
      </c>
      <c r="C57" s="4" t="inlineStr">
        <is>
          <t>In stock</t>
        </is>
      </c>
      <c r="D57" s="4" t="n">
        <v>1</v>
      </c>
      <c r="E57" s="5" t="inlineStr">
        <is>
          <t>https://books.toscrape.com/catalogue/the-torch-is-passed-a-harding-family-story_945/index.html</t>
        </is>
      </c>
      <c r="F57" s="4" t="n">
        <v>3</v>
      </c>
    </row>
    <row r="58">
      <c r="A58" s="2" t="inlineStr">
        <is>
          <t>The Secret of Dreadwillow Carse</t>
        </is>
      </c>
      <c r="B58" s="3" t="n">
        <v>56.13</v>
      </c>
      <c r="C58" s="4" t="inlineStr">
        <is>
          <t>In stock</t>
        </is>
      </c>
      <c r="D58" s="4" t="n">
        <v>1</v>
      </c>
      <c r="E58" s="5" t="inlineStr">
        <is>
          <t>https://books.toscrape.com/catalogue/the-secret-of-dreadwillow-carse_944/index.html</t>
        </is>
      </c>
      <c r="F58" s="4" t="n">
        <v>3</v>
      </c>
    </row>
    <row r="59">
      <c r="A59" s="2" t="inlineStr">
        <is>
          <t>The Pioneer Woman Cooks: Dinnertime: Comfort Classics, Freezer Food, 16-Minute Meals, and Other Delicious Ways to Solve Supper!</t>
        </is>
      </c>
      <c r="B59" s="3" t="n">
        <v>56.41</v>
      </c>
      <c r="C59" s="4" t="inlineStr">
        <is>
          <t>In stock</t>
        </is>
      </c>
      <c r="D59" s="4" t="n">
        <v>1</v>
      </c>
      <c r="E59" s="5" t="inlineStr">
        <is>
          <t>https://books.toscrape.com/catalogue/the-pioneer-woman-cooks-dinnertime-comfort-classics-freezer-food-16-minute-meals-and-other-delicious-ways-to-solve-supper_943/index.html</t>
        </is>
      </c>
      <c r="F59" s="4" t="n">
        <v>3</v>
      </c>
    </row>
    <row r="60">
      <c r="A60" s="2" t="inlineStr">
        <is>
          <t>The Past Never Ends</t>
        </is>
      </c>
      <c r="B60" s="3" t="n">
        <v>56.5</v>
      </c>
      <c r="C60" s="4" t="inlineStr">
        <is>
          <t>In stock</t>
        </is>
      </c>
      <c r="D60" s="4" t="n">
        <v>4</v>
      </c>
      <c r="E60" s="5" t="inlineStr">
        <is>
          <t>https://books.toscrape.com/catalogue/the-past-never-ends_942/index.html</t>
        </is>
      </c>
      <c r="F60" s="4" t="n">
        <v>3</v>
      </c>
    </row>
    <row r="61">
      <c r="A61" s="2" t="inlineStr">
        <is>
          <t>The Natural History of Us (The Fine Art of Pretending #2)</t>
        </is>
      </c>
      <c r="B61" s="3" t="n">
        <v>45.22</v>
      </c>
      <c r="C61" s="4" t="inlineStr">
        <is>
          <t>In stock</t>
        </is>
      </c>
      <c r="D61" s="4" t="n">
        <v>3</v>
      </c>
      <c r="E61" s="5" t="inlineStr">
        <is>
          <t>https://books.toscrape.com/catalogue/the-natural-history-of-us-the-fine-art-of-pretending-2_941/index.html</t>
        </is>
      </c>
      <c r="F61" s="4" t="n">
        <v>3</v>
      </c>
    </row>
    <row r="62">
      <c r="A62" s="2" t="inlineStr">
        <is>
          <t>The Nameless City (The Nameless City #1)</t>
        </is>
      </c>
      <c r="B62" s="3" t="n">
        <v>38.16</v>
      </c>
      <c r="C62" s="4" t="inlineStr">
        <is>
          <t>In stock</t>
        </is>
      </c>
      <c r="D62" s="4" t="n">
        <v>4</v>
      </c>
      <c r="E62" s="5" t="inlineStr">
        <is>
          <t>https://books.toscrape.com/catalogue/the-nameless-city-the-nameless-city-1_940/index.html</t>
        </is>
      </c>
      <c r="F62" s="4" t="n">
        <v>4</v>
      </c>
    </row>
    <row r="63">
      <c r="A63" s="2" t="inlineStr">
        <is>
          <t>The Murder That Never Was (Forensic Instincts #5)</t>
        </is>
      </c>
      <c r="B63" s="3" t="n">
        <v>54.11</v>
      </c>
      <c r="C63" s="4" t="inlineStr">
        <is>
          <t>In stock</t>
        </is>
      </c>
      <c r="D63" s="4" t="n">
        <v>3</v>
      </c>
      <c r="E63" s="5" t="inlineStr">
        <is>
          <t>https://books.toscrape.com/catalogue/the-murder-that-never-was-forensic-instincts-5_939/index.html</t>
        </is>
      </c>
      <c r="F63" s="4" t="n">
        <v>4</v>
      </c>
    </row>
    <row r="64">
      <c r="A64" s="2" t="inlineStr">
        <is>
          <t>The Most Perfect Thing: Inside (and Outside) a Bird's Egg</t>
        </is>
      </c>
      <c r="B64" s="3" t="n">
        <v>42.96</v>
      </c>
      <c r="C64" s="4" t="inlineStr">
        <is>
          <t>In stock</t>
        </is>
      </c>
      <c r="D64" s="4" t="n">
        <v>4</v>
      </c>
      <c r="E64" s="5" t="inlineStr">
        <is>
          <t>https://books.toscrape.com/catalogue/the-most-perfect-thing-inside-and-outside-a-birds-egg_938/index.html</t>
        </is>
      </c>
      <c r="F64" s="4" t="n">
        <v>4</v>
      </c>
    </row>
    <row r="65">
      <c r="A65" s="2" t="inlineStr">
        <is>
          <t>The Mindfulness and Acceptance Workbook for Anxiety: A Guide to Breaking Free from Anxiety, Phobias, and Worry Using Acceptance and Commitment Therapy</t>
        </is>
      </c>
      <c r="B65" s="3" t="n">
        <v>23.89</v>
      </c>
      <c r="C65" s="4" t="inlineStr">
        <is>
          <t>In stock</t>
        </is>
      </c>
      <c r="D65" s="4" t="n">
        <v>4</v>
      </c>
      <c r="E65" s="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s="4" t="n">
        <v>4</v>
      </c>
    </row>
    <row r="66">
      <c r="A66" s="2" t="inlineStr">
        <is>
          <t>The Life-Changing Magic of Tidying Up: The Japanese Art of Decluttering and Organizing</t>
        </is>
      </c>
      <c r="B66" s="3" t="n">
        <v>16.77</v>
      </c>
      <c r="C66" s="4" t="inlineStr">
        <is>
          <t>In stock</t>
        </is>
      </c>
      <c r="D66" s="4" t="n">
        <v>3</v>
      </c>
      <c r="E66" s="5" t="inlineStr">
        <is>
          <t>https://books.toscrape.com/catalogue/the-life-changing-magic-of-tidying-up-the-japanese-art-of-decluttering-and-organizing_936/index.html</t>
        </is>
      </c>
      <c r="F66" s="4" t="n">
        <v>4</v>
      </c>
    </row>
    <row r="67">
      <c r="A67" s="2" t="inlineStr">
        <is>
          <t>The Inefficiency Assassin: Time Management Tactics for Working Smarter, Not Longer</t>
        </is>
      </c>
      <c r="B67" s="3" t="n">
        <v>20.59</v>
      </c>
      <c r="C67" s="4" t="inlineStr">
        <is>
          <t>In stock</t>
        </is>
      </c>
      <c r="D67" s="4" t="n">
        <v>5</v>
      </c>
      <c r="E67" s="5" t="inlineStr">
        <is>
          <t>https://books.toscrape.com/catalogue/the-inefficiency-assassin-time-management-tactics-for-working-smarter-not-longer_935/index.html</t>
        </is>
      </c>
      <c r="F67" s="4" t="n">
        <v>4</v>
      </c>
    </row>
    <row r="68">
      <c r="A68" s="2" t="inlineStr">
        <is>
          <t>The Gutsy Girl: Escapades for Your Life of Epic Adventure</t>
        </is>
      </c>
      <c r="B68" s="3" t="n">
        <v>37.13</v>
      </c>
      <c r="C68" s="4" t="inlineStr">
        <is>
          <t>In stock</t>
        </is>
      </c>
      <c r="D68" s="4" t="n">
        <v>1</v>
      </c>
      <c r="E68" s="5" t="inlineStr">
        <is>
          <t>https://books.toscrape.com/catalogue/the-gutsy-girl-escapades-for-your-life-of-epic-adventure_934/index.html</t>
        </is>
      </c>
      <c r="F68" s="4" t="n">
        <v>4</v>
      </c>
    </row>
    <row r="69">
      <c r="A69" s="2" t="inlineStr">
        <is>
          <t>The Electric Pencil: Drawings from Inside State Hospital No. 3</t>
        </is>
      </c>
      <c r="B69" s="3" t="n">
        <v>56.06</v>
      </c>
      <c r="C69" s="4" t="inlineStr">
        <is>
          <t>In stock</t>
        </is>
      </c>
      <c r="D69" s="4" t="n">
        <v>1</v>
      </c>
      <c r="E69" s="5" t="inlineStr">
        <is>
          <t>https://books.toscrape.com/catalogue/the-electric-pencil-drawings-from-inside-state-hospital-no-3_933/index.html</t>
        </is>
      </c>
      <c r="F69" s="4" t="n">
        <v>4</v>
      </c>
    </row>
    <row r="70">
      <c r="A70" s="2" t="inlineStr">
        <is>
          <t>The Death of Humanity: and the Case for Life</t>
        </is>
      </c>
      <c r="B70" s="3" t="n">
        <v>58.11</v>
      </c>
      <c r="C70" s="4" t="inlineStr">
        <is>
          <t>In stock</t>
        </is>
      </c>
      <c r="D70" s="4" t="n">
        <v>4</v>
      </c>
      <c r="E70" s="5" t="inlineStr">
        <is>
          <t>https://books.toscrape.com/catalogue/the-death-of-humanity-and-the-case-for-life_932/index.html</t>
        </is>
      </c>
      <c r="F70" s="4" t="n">
        <v>4</v>
      </c>
    </row>
    <row r="71">
      <c r="A71" s="2" t="inlineStr">
        <is>
          <t>The Bulletproof Diet: Lose up to a Pound a Day, Reclaim Energy and Focus, Upgrade Your Life</t>
        </is>
      </c>
      <c r="B71" s="3" t="n">
        <v>49.05</v>
      </c>
      <c r="C71" s="4" t="inlineStr">
        <is>
          <t>In stock</t>
        </is>
      </c>
      <c r="D71" s="4" t="n">
        <v>3</v>
      </c>
      <c r="E71" s="5" t="inlineStr">
        <is>
          <t>https://books.toscrape.com/catalogue/the-bulletproof-diet-lose-up-to-a-pound-a-day-reclaim-energy-and-focus-upgrade-your-life_931/index.html</t>
        </is>
      </c>
      <c r="F71" s="4" t="n">
        <v>4</v>
      </c>
    </row>
    <row r="72">
      <c r="A72" s="2" t="inlineStr">
        <is>
          <t>The Art Forger</t>
        </is>
      </c>
      <c r="B72" s="3" t="n">
        <v>40.76</v>
      </c>
      <c r="C72" s="4" t="inlineStr">
        <is>
          <t>In stock</t>
        </is>
      </c>
      <c r="D72" s="4" t="n">
        <v>3</v>
      </c>
      <c r="E72" s="5" t="inlineStr">
        <is>
          <t>https://books.toscrape.com/catalogue/the-art-forger_930/index.html</t>
        </is>
      </c>
      <c r="F72" s="4" t="n">
        <v>4</v>
      </c>
    </row>
    <row r="73">
      <c r="A73" s="2" t="inlineStr">
        <is>
          <t>The Age of Genius: The Seventeenth Century and the Birth of the Modern Mind</t>
        </is>
      </c>
      <c r="B73" s="3" t="n">
        <v>19.73</v>
      </c>
      <c r="C73" s="4" t="inlineStr">
        <is>
          <t>In stock</t>
        </is>
      </c>
      <c r="D73" s="4" t="n">
        <v>1</v>
      </c>
      <c r="E73" s="5" t="inlineStr">
        <is>
          <t>https://books.toscrape.com/catalogue/the-age-of-genius-the-seventeenth-century-and-the-birth-of-the-modern-mind_929/index.html</t>
        </is>
      </c>
      <c r="F73" s="4" t="n">
        <v>4</v>
      </c>
    </row>
    <row r="74">
      <c r="A74" s="2" t="inlineStr">
        <is>
          <t>The Activist's Tao Te Ching: Ancient Advice for a Modern Revolution</t>
        </is>
      </c>
      <c r="B74" s="3" t="n">
        <v>32.24</v>
      </c>
      <c r="C74" s="4" t="inlineStr">
        <is>
          <t>In stock</t>
        </is>
      </c>
      <c r="D74" s="4" t="n">
        <v>5</v>
      </c>
      <c r="E74" s="5" t="inlineStr">
        <is>
          <t>https://books.toscrape.com/catalogue/the-activists-tao-te-ching-ancient-advice-for-a-modern-revolution_928/index.html</t>
        </is>
      </c>
      <c r="F74" s="4" t="n">
        <v>4</v>
      </c>
    </row>
    <row r="75">
      <c r="A75" s="2" t="inlineStr">
        <is>
          <t>Spark Joy: An Illustrated Master Class on the Art of Organizing and Tidying Up</t>
        </is>
      </c>
      <c r="B75" s="3" t="n">
        <v>41.83</v>
      </c>
      <c r="C75" s="4" t="inlineStr">
        <is>
          <t>In stock</t>
        </is>
      </c>
      <c r="D75" s="4" t="n">
        <v>4</v>
      </c>
      <c r="E75" s="5" t="inlineStr">
        <is>
          <t>https://books.toscrape.com/catalogue/spark-joy-an-illustrated-master-class-on-the-art-of-organizing-and-tidying-up_927/index.html</t>
        </is>
      </c>
      <c r="F75" s="4" t="n">
        <v>4</v>
      </c>
    </row>
    <row r="76">
      <c r="A76" s="2" t="inlineStr">
        <is>
          <t>Soul Reader</t>
        </is>
      </c>
      <c r="B76" s="3" t="n">
        <v>39.58</v>
      </c>
      <c r="C76" s="4" t="inlineStr">
        <is>
          <t>In stock</t>
        </is>
      </c>
      <c r="D76" s="4" t="n">
        <v>2</v>
      </c>
      <c r="E76" s="5" t="inlineStr">
        <is>
          <t>https://books.toscrape.com/catalogue/soul-reader_926/index.html</t>
        </is>
      </c>
      <c r="F76" s="4" t="n">
        <v>4</v>
      </c>
    </row>
    <row r="77">
      <c r="A77" s="2" t="inlineStr">
        <is>
          <t>Security</t>
        </is>
      </c>
      <c r="B77" s="3" t="n">
        <v>39.25</v>
      </c>
      <c r="C77" s="4" t="inlineStr">
        <is>
          <t>In stock</t>
        </is>
      </c>
      <c r="D77" s="4" t="n">
        <v>2</v>
      </c>
      <c r="E77" s="5" t="inlineStr">
        <is>
          <t>https://books.toscrape.com/catalogue/security_925/index.html</t>
        </is>
      </c>
      <c r="F77" s="4" t="n">
        <v>4</v>
      </c>
    </row>
    <row r="78">
      <c r="A78" s="2" t="inlineStr">
        <is>
          <t>Saga, Volume 6 (Saga (Collected Editions) #6)</t>
        </is>
      </c>
      <c r="B78" s="3" t="n">
        <v>25.02</v>
      </c>
      <c r="C78" s="4" t="inlineStr">
        <is>
          <t>In stock</t>
        </is>
      </c>
      <c r="D78" s="4" t="n">
        <v>3</v>
      </c>
      <c r="E78" s="5" t="inlineStr">
        <is>
          <t>https://books.toscrape.com/catalogue/saga-volume-6-saga-collected-editions-6_924/index.html</t>
        </is>
      </c>
      <c r="F78" s="4" t="n">
        <v>4</v>
      </c>
    </row>
    <row r="79">
      <c r="A79" s="2" t="inlineStr">
        <is>
          <t>Saga, Volume 5 (Saga (Collected Editions) #5)</t>
        </is>
      </c>
      <c r="B79" s="3" t="n">
        <v>51.04</v>
      </c>
      <c r="C79" s="4" t="inlineStr">
        <is>
          <t>In stock</t>
        </is>
      </c>
      <c r="D79" s="4" t="n">
        <v>2</v>
      </c>
      <c r="E79" s="5" t="inlineStr">
        <is>
          <t>https://books.toscrape.com/catalogue/saga-volume-5-saga-collected-editions-5_923/index.html</t>
        </is>
      </c>
      <c r="F79" s="4" t="n">
        <v>4</v>
      </c>
    </row>
    <row r="80">
      <c r="A80" s="2" t="inlineStr">
        <is>
          <t>Reskilling America: Learning to Labor in the Twenty-First Century</t>
        </is>
      </c>
      <c r="B80" s="3" t="n">
        <v>19.83</v>
      </c>
      <c r="C80" s="4" t="inlineStr">
        <is>
          <t>In stock</t>
        </is>
      </c>
      <c r="D80" s="4" t="n">
        <v>2</v>
      </c>
      <c r="E80" s="5" t="inlineStr">
        <is>
          <t>https://books.toscrape.com/catalogue/reskilling-america-learning-to-labor-in-the-twenty-first-century_922/index.html</t>
        </is>
      </c>
      <c r="F80" s="4" t="n">
        <v>4</v>
      </c>
    </row>
    <row r="81">
      <c r="A81" s="2" t="inlineStr">
        <is>
          <t>Rat Queens, Vol. 3: Demons (Rat Queens (Collected Editions) #11-15)</t>
        </is>
      </c>
      <c r="B81" s="3" t="n">
        <v>50.4</v>
      </c>
      <c r="C81" s="4" t="inlineStr">
        <is>
          <t>In stock</t>
        </is>
      </c>
      <c r="D81" s="4" t="n">
        <v>3</v>
      </c>
      <c r="E81" s="5" t="inlineStr">
        <is>
          <t>https://books.toscrape.com/catalogue/rat-queens-vol-3-demons-rat-queens-collected-editions-11-15_921/index.html</t>
        </is>
      </c>
      <c r="F81" s="4" t="n">
        <v>4</v>
      </c>
    </row>
    <row r="82">
      <c r="A82" s="2" t="inlineStr">
        <is>
          <t>Princess Jellyfish 2-in-1 Omnibus, Vol. 01 (Princess Jellyfish 2-in-1 Omnibus #1)</t>
        </is>
      </c>
      <c r="B82" s="3" t="n">
        <v>13.61</v>
      </c>
      <c r="C82" s="4" t="inlineStr">
        <is>
          <t>In stock</t>
        </is>
      </c>
      <c r="D82" s="4" t="n">
        <v>5</v>
      </c>
      <c r="E82" s="5" t="inlineStr">
        <is>
          <t>https://books.toscrape.com/catalogue/princess-jellyfish-2-in-1-omnibus-vol-01-princess-jellyfish-2-in-1-omnibus-1_920/index.html</t>
        </is>
      </c>
      <c r="F82" s="4" t="n">
        <v>5</v>
      </c>
    </row>
    <row r="83">
      <c r="A83" s="2" t="inlineStr">
        <is>
          <t>Princess Between Worlds (Wide-Awake Princess #5)</t>
        </is>
      </c>
      <c r="B83" s="3" t="n">
        <v>13.34</v>
      </c>
      <c r="C83" s="4" t="inlineStr">
        <is>
          <t>In stock</t>
        </is>
      </c>
      <c r="D83" s="4" t="n">
        <v>5</v>
      </c>
      <c r="E83" s="5" t="inlineStr">
        <is>
          <t>https://books.toscrape.com/catalogue/princess-between-worlds-wide-awake-princess-5_919/index.html</t>
        </is>
      </c>
      <c r="F83" s="4" t="n">
        <v>5</v>
      </c>
    </row>
    <row r="84">
      <c r="A84" s="2" t="inlineStr">
        <is>
          <t>Pop Gun War, Volume 1: Gift</t>
        </is>
      </c>
      <c r="B84" s="3" t="n">
        <v>18.97</v>
      </c>
      <c r="C84" s="4" t="inlineStr">
        <is>
          <t>In stock</t>
        </is>
      </c>
      <c r="D84" s="4" t="n">
        <v>1</v>
      </c>
      <c r="E84" s="5" t="inlineStr">
        <is>
          <t>https://books.toscrape.com/catalogue/pop-gun-war-volume-1-gift_918/index.html</t>
        </is>
      </c>
      <c r="F84" s="4" t="n">
        <v>5</v>
      </c>
    </row>
    <row r="85">
      <c r="A85" s="2" t="inlineStr">
        <is>
          <t>Political Suicide: Missteps, Peccadilloes, Bad Calls, Backroom Hijinx, Sordid Pasts, Rotten Breaks, and Just Plain Dumb Mistakes in the Annals of American Politics</t>
        </is>
      </c>
      <c r="B85" s="3" t="n">
        <v>36.28</v>
      </c>
      <c r="C85" s="4" t="inlineStr">
        <is>
          <t>In stock</t>
        </is>
      </c>
      <c r="D85" s="4" t="n">
        <v>2</v>
      </c>
      <c r="E85" s="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s="4" t="n">
        <v>5</v>
      </c>
    </row>
    <row r="86">
      <c r="A86" s="2" t="inlineStr">
        <is>
          <t>Patience</t>
        </is>
      </c>
      <c r="B86" s="3" t="n">
        <v>10.16</v>
      </c>
      <c r="C86" s="4" t="inlineStr">
        <is>
          <t>In stock</t>
        </is>
      </c>
      <c r="D86" s="4" t="n">
        <v>3</v>
      </c>
      <c r="E86" s="5" t="inlineStr">
        <is>
          <t>https://books.toscrape.com/catalogue/patience_916/index.html</t>
        </is>
      </c>
      <c r="F86" s="4" t="n">
        <v>5</v>
      </c>
    </row>
    <row r="87">
      <c r="A87" s="2" t="inlineStr">
        <is>
          <t>Outcast, Vol. 1: A Darkness Surrounds Him (Outcast #1)</t>
        </is>
      </c>
      <c r="B87" s="3" t="n">
        <v>15.44</v>
      </c>
      <c r="C87" s="4" t="inlineStr">
        <is>
          <t>In stock</t>
        </is>
      </c>
      <c r="D87" s="4" t="n">
        <v>4</v>
      </c>
      <c r="E87" s="5" t="inlineStr">
        <is>
          <t>https://books.toscrape.com/catalogue/outcast-vol-1-a-darkness-surrounds-him-outcast-1_915/index.html</t>
        </is>
      </c>
      <c r="F87" s="4" t="n">
        <v>5</v>
      </c>
    </row>
    <row r="88">
      <c r="A88" s="2" t="inlineStr">
        <is>
          <t>orange: The Complete Collection 1 (orange: The Complete Collection #1)</t>
        </is>
      </c>
      <c r="B88" s="3" t="n">
        <v>48.41</v>
      </c>
      <c r="C88" s="4" t="inlineStr">
        <is>
          <t>In stock</t>
        </is>
      </c>
      <c r="D88" s="4" t="n">
        <v>1</v>
      </c>
      <c r="E88" s="5" t="inlineStr">
        <is>
          <t>https://books.toscrape.com/catalogue/orange-the-complete-collection-1-orange-the-complete-collection-1_914/index.html</t>
        </is>
      </c>
      <c r="F88" s="4" t="n">
        <v>5</v>
      </c>
    </row>
    <row r="89">
      <c r="A89" s="2" t="inlineStr">
        <is>
          <t>Online Marketing for Busy Authors: A Step-By-Step Guide</t>
        </is>
      </c>
      <c r="B89" s="3" t="n">
        <v>46.35</v>
      </c>
      <c r="C89" s="4" t="inlineStr">
        <is>
          <t>In stock</t>
        </is>
      </c>
      <c r="D89" s="4" t="n">
        <v>1</v>
      </c>
      <c r="E89" s="5" t="inlineStr">
        <is>
          <t>https://books.toscrape.com/catalogue/online-marketing-for-busy-authors-a-step-by-step-guide_913/index.html</t>
        </is>
      </c>
      <c r="F89" s="4" t="n">
        <v>5</v>
      </c>
    </row>
    <row r="90">
      <c r="A90" s="2" t="inlineStr">
        <is>
          <t>On a Midnight Clear</t>
        </is>
      </c>
      <c r="B90" s="3" t="n">
        <v>14.07</v>
      </c>
      <c r="C90" s="4" t="inlineStr">
        <is>
          <t>In stock</t>
        </is>
      </c>
      <c r="D90" s="4" t="n">
        <v>3</v>
      </c>
      <c r="E90" s="5" t="inlineStr">
        <is>
          <t>https://books.toscrape.com/catalogue/on-a-midnight-clear_912/index.html</t>
        </is>
      </c>
      <c r="F90" s="4" t="n">
        <v>5</v>
      </c>
    </row>
    <row r="91">
      <c r="A91" s="2" t="inlineStr">
        <is>
          <t>Obsidian (Lux #1)</t>
        </is>
      </c>
      <c r="B91" s="3" t="n">
        <v>14.86</v>
      </c>
      <c r="C91" s="4" t="inlineStr">
        <is>
          <t>In stock</t>
        </is>
      </c>
      <c r="D91" s="4" t="n">
        <v>2</v>
      </c>
      <c r="E91" s="5" t="inlineStr">
        <is>
          <t>https://books.toscrape.com/catalogue/obsidian-lux-1_911/index.html</t>
        </is>
      </c>
      <c r="F91" s="4" t="n">
        <v>5</v>
      </c>
    </row>
    <row r="92">
      <c r="A92" s="2" t="inlineStr">
        <is>
          <t>My Paris Kitchen: Recipes and Stories</t>
        </is>
      </c>
      <c r="B92" s="3" t="n">
        <v>33.37</v>
      </c>
      <c r="C92" s="4" t="inlineStr">
        <is>
          <t>In stock</t>
        </is>
      </c>
      <c r="D92" s="4" t="n">
        <v>2</v>
      </c>
      <c r="E92" s="5" t="inlineStr">
        <is>
          <t>https://books.toscrape.com/catalogue/my-paris-kitchen-recipes-and-stories_910/index.html</t>
        </is>
      </c>
      <c r="F92" s="4" t="n">
        <v>5</v>
      </c>
    </row>
    <row r="93">
      <c r="A93" s="2" t="inlineStr">
        <is>
          <t>Masks and Shadows</t>
        </is>
      </c>
      <c r="B93" s="3" t="n">
        <v>56.4</v>
      </c>
      <c r="C93" s="4" t="inlineStr">
        <is>
          <t>In stock</t>
        </is>
      </c>
      <c r="D93" s="4" t="n">
        <v>2</v>
      </c>
      <c r="E93" s="5" t="inlineStr">
        <is>
          <t>https://books.toscrape.com/catalogue/masks-and-shadows_909/index.html</t>
        </is>
      </c>
      <c r="F93" s="4" t="n">
        <v>5</v>
      </c>
    </row>
    <row r="94">
      <c r="A94" s="2" t="inlineStr">
        <is>
          <t>Mama Tried: Traditional Italian Cooking for the Screwed, Crude, Vegan, and Tattooed</t>
        </is>
      </c>
      <c r="B94" s="3" t="n">
        <v>14.02</v>
      </c>
      <c r="C94" s="4" t="inlineStr">
        <is>
          <t>In stock</t>
        </is>
      </c>
      <c r="D94" s="4" t="n">
        <v>4</v>
      </c>
      <c r="E94" s="5" t="inlineStr">
        <is>
          <t>https://books.toscrape.com/catalogue/mama-tried-traditional-italian-cooking-for-the-screwed-crude-vegan-and-tattooed_908/index.html</t>
        </is>
      </c>
      <c r="F94" s="4" t="n">
        <v>5</v>
      </c>
    </row>
    <row r="95">
      <c r="A95" s="2" t="inlineStr">
        <is>
          <t>Lumberjanes, Vol. 2: Friendship to the Max (Lumberjanes #5-8)</t>
        </is>
      </c>
      <c r="B95" s="3" t="n">
        <v>46.91</v>
      </c>
      <c r="C95" s="4" t="inlineStr">
        <is>
          <t>In stock</t>
        </is>
      </c>
      <c r="D95" s="4" t="n">
        <v>2</v>
      </c>
      <c r="E95" s="5" t="inlineStr">
        <is>
          <t>https://books.toscrape.com/catalogue/lumberjanes-vol-2-friendship-to-the-max-lumberjanes-5-8_907/index.html</t>
        </is>
      </c>
      <c r="F95" s="4" t="n">
        <v>5</v>
      </c>
    </row>
    <row r="96">
      <c r="A96" s="2" t="inlineStr">
        <is>
          <t>Lumberjanes, Vol. 1: Beware the Kitten Holy (Lumberjanes #1-4)</t>
        </is>
      </c>
      <c r="B96" s="3" t="n">
        <v>45.61</v>
      </c>
      <c r="C96" s="4" t="inlineStr">
        <is>
          <t>In stock</t>
        </is>
      </c>
      <c r="D96" s="4" t="n">
        <v>3</v>
      </c>
      <c r="E96" s="5" t="inlineStr">
        <is>
          <t>https://books.toscrape.com/catalogue/lumberjanes-vol-1-beware-the-kitten-holy-lumberjanes-1-4_906/index.html</t>
        </is>
      </c>
      <c r="F96" s="4" t="n">
        <v>5</v>
      </c>
    </row>
    <row r="97">
      <c r="A97" s="2" t="inlineStr">
        <is>
          <t>Lumberjanes Vol. 3: A Terrible Plan (Lumberjanes #9-12)</t>
        </is>
      </c>
      <c r="B97" s="3" t="n">
        <v>19.92</v>
      </c>
      <c r="C97" s="4" t="inlineStr">
        <is>
          <t>In stock</t>
        </is>
      </c>
      <c r="D97" s="4" t="n">
        <v>2</v>
      </c>
      <c r="E97" s="5" t="inlineStr">
        <is>
          <t>https://books.toscrape.com/catalogue/lumberjanes-vol-3-a-terrible-plan-lumberjanes-9-12_905/index.html</t>
        </is>
      </c>
      <c r="F97" s="4" t="n">
        <v>5</v>
      </c>
    </row>
    <row r="98">
      <c r="A98" s="2" t="inlineStr">
        <is>
          <t>Layered: Baking, Building, and Styling Spectacular Cakes</t>
        </is>
      </c>
      <c r="B98" s="3" t="n">
        <v>40.11</v>
      </c>
      <c r="C98" s="4" t="inlineStr">
        <is>
          <t>In stock</t>
        </is>
      </c>
      <c r="D98" s="4" t="n">
        <v>1</v>
      </c>
      <c r="E98" s="5" t="inlineStr">
        <is>
          <t>https://books.toscrape.com/catalogue/layered-baking-building-and-styling-spectacular-cakes_904/index.html</t>
        </is>
      </c>
      <c r="F98" s="4" t="n">
        <v>5</v>
      </c>
    </row>
    <row r="99">
      <c r="A99" s="2" t="inlineStr">
        <is>
          <t>Judo: Seven Steps to Black Belt (an Introductory Guide for Beginners)</t>
        </is>
      </c>
      <c r="B99" s="3" t="n">
        <v>53.9</v>
      </c>
      <c r="C99" s="4" t="inlineStr">
        <is>
          <t>In stock</t>
        </is>
      </c>
      <c r="D99" s="4" t="n">
        <v>2</v>
      </c>
      <c r="E99" s="5" t="inlineStr">
        <is>
          <t>https://books.toscrape.com/catalogue/judo-seven-steps-to-black-belt-an-introductory-guide-for-beginners_903/index.html</t>
        </is>
      </c>
      <c r="F99" s="4" t="n">
        <v>5</v>
      </c>
    </row>
    <row r="100">
      <c r="A100" s="2" t="inlineStr">
        <is>
          <t>Join</t>
        </is>
      </c>
      <c r="B100" s="3" t="n">
        <v>35.67</v>
      </c>
      <c r="C100" s="4" t="inlineStr">
        <is>
          <t>In stock</t>
        </is>
      </c>
      <c r="D100" s="4" t="n">
        <v>5</v>
      </c>
      <c r="E100" s="5" t="inlineStr">
        <is>
          <t>https://books.toscrape.com/catalogue/join_902/index.html</t>
        </is>
      </c>
      <c r="F100" s="4" t="n">
        <v>5</v>
      </c>
    </row>
    <row r="101">
      <c r="A101" s="2" t="inlineStr">
        <is>
          <t>In the Country We Love: My Family Divided</t>
        </is>
      </c>
      <c r="B101" s="3" t="n">
        <v>22</v>
      </c>
      <c r="C101" s="4" t="inlineStr">
        <is>
          <t>In stock</t>
        </is>
      </c>
      <c r="D101" s="4" t="n">
        <v>4</v>
      </c>
      <c r="E101" s="5" t="inlineStr">
        <is>
          <t>https://books.toscrape.com/catalogue/in-the-country-we-love-my-family-divided_901/index.html</t>
        </is>
      </c>
      <c r="F101" s="4" t="n">
        <v>5</v>
      </c>
    </row>
  </sheetData>
  <autoFilter ref="A1:F10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</cols>
  <sheetData>
    <row r="1">
      <c r="A1" s="6" t="inlineStr">
        <is>
          <t>Synthèse du catalogue</t>
        </is>
      </c>
    </row>
    <row r="3" ht="30" customHeight="1">
      <c r="A3" t="inlineStr">
        <is>
          <t>Source</t>
        </is>
      </c>
      <c r="B3" s="7" t="inlineStr">
        <is>
          <t>books.toscrape.com (site public d'entraînement au scraping)</t>
        </is>
      </c>
    </row>
    <row r="4">
      <c r="A4" t="inlineStr">
        <is>
          <t>Extrait le</t>
        </is>
      </c>
      <c r="B4" t="inlineStr">
        <is>
          <t>2026-10-12</t>
        </is>
      </c>
    </row>
    <row r="5">
      <c r="A5" t="inlineStr">
        <is>
          <t>Lignes livrées</t>
        </is>
      </c>
      <c r="B5">
        <f>COUNTA(Catalogue!A2:A101)</f>
        <v/>
      </c>
    </row>
    <row r="7">
      <c r="A7" s="8" t="inlineStr">
        <is>
          <t>Indicateurs prix (GBP)</t>
        </is>
      </c>
    </row>
    <row r="8">
      <c r="A8" t="inlineStr">
        <is>
          <t>Minimum</t>
        </is>
      </c>
      <c r="B8" s="9">
        <f>MIN(Catalogue!B2:B101)</f>
        <v/>
      </c>
    </row>
    <row r="9">
      <c r="A9" t="inlineStr">
        <is>
          <t>Maximum</t>
        </is>
      </c>
      <c r="B9" s="9">
        <f>MAX(Catalogue!B2:B101)</f>
        <v/>
      </c>
    </row>
    <row r="10">
      <c r="A10" t="inlineStr">
        <is>
          <t>Moyenne</t>
        </is>
      </c>
      <c r="B10" s="9">
        <f>ROUND(AVERAGE(Catalogue!B2:B101),2)</f>
        <v/>
      </c>
    </row>
    <row r="11">
      <c r="A11" t="inlineStr">
        <is>
          <t>Médiane</t>
        </is>
      </c>
      <c r="B11" s="9">
        <f>MEDIAN(Catalogue!B2:B101)</f>
        <v/>
      </c>
    </row>
    <row r="12">
      <c r="A12" t="inlineStr">
        <is>
          <t>Écart-type</t>
        </is>
      </c>
      <c r="B12" s="9">
        <f>ROUND(STDEV(Catalogue!B2:B101),2)</f>
        <v/>
      </c>
    </row>
    <row r="14">
      <c r="A14" s="8" t="inlineStr">
        <is>
          <t>Disponibilité</t>
        </is>
      </c>
    </row>
    <row r="15">
      <c r="A15" t="inlineStr">
        <is>
          <t>En stock</t>
        </is>
      </c>
      <c r="B15">
        <f>COUNTIF(Catalogue!C2:C101,"In stock")</f>
        <v/>
      </c>
    </row>
    <row r="16">
      <c r="A16" t="inlineStr">
        <is>
          <t>Part en stock</t>
        </is>
      </c>
      <c r="B16" s="10">
        <f>IF(B5=0,0,B15/B5)</f>
        <v/>
      </c>
    </row>
    <row r="18">
      <c r="A18" s="8" t="inlineStr">
        <is>
          <t>Répartition par note</t>
        </is>
      </c>
      <c r="B18" s="8" t="inlineStr">
        <is>
          <t>Titres</t>
        </is>
      </c>
      <c r="C18" s="8" t="inlineStr">
        <is>
          <t>Part</t>
        </is>
      </c>
    </row>
    <row r="19">
      <c r="A19" t="inlineStr">
        <is>
          <t>1 étoile(s)</t>
        </is>
      </c>
      <c r="B19">
        <f>COUNTIF(Catalogue!D2:D101,1)</f>
        <v/>
      </c>
      <c r="C19" s="10">
        <f>IF($B$5=0,0,B19/$B$5)</f>
        <v/>
      </c>
    </row>
    <row r="20">
      <c r="A20" t="inlineStr">
        <is>
          <t>2 étoile(s)</t>
        </is>
      </c>
      <c r="B20">
        <f>COUNTIF(Catalogue!D2:D101,2)</f>
        <v/>
      </c>
      <c r="C20" s="10">
        <f>IF($B$5=0,0,B20/$B$5)</f>
        <v/>
      </c>
    </row>
    <row r="21">
      <c r="A21" t="inlineStr">
        <is>
          <t>3 étoile(s)</t>
        </is>
      </c>
      <c r="B21">
        <f>COUNTIF(Catalogue!D2:D101,3)</f>
        <v/>
      </c>
      <c r="C21" s="10">
        <f>IF($B$5=0,0,B21/$B$5)</f>
        <v/>
      </c>
    </row>
    <row r="22">
      <c r="A22" t="inlineStr">
        <is>
          <t>4 étoile(s)</t>
        </is>
      </c>
      <c r="B22">
        <f>COUNTIF(Catalogue!D2:D101,4)</f>
        <v/>
      </c>
      <c r="C22" s="10">
        <f>IF($B$5=0,0,B22/$B$5)</f>
        <v/>
      </c>
    </row>
    <row r="23">
      <c r="A23" t="inlineStr">
        <is>
          <t>5 étoile(s)</t>
        </is>
      </c>
      <c r="B23">
        <f>COUNTIF(Catalogue!D2:D101,5)</f>
        <v/>
      </c>
      <c r="C23" s="10">
        <f>IF($B$5=0,0,B23/$B$5)</f>
        <v/>
      </c>
    </row>
    <row r="26">
      <c r="A26" s="8" t="inlineStr">
        <is>
          <t>Note de méthode</t>
        </is>
      </c>
    </row>
    <row r="27">
      <c r="A27" s="7" t="inlineStr">
        <is>
          <t>Extraction des pages publiques, nettoyage des libellés de prix, typage numérique des prix et des notes, dédoublonnage des URL. Les cellules de cette feuille sont des formules : elles se recalculent à l'ouverture.</t>
        </is>
      </c>
    </row>
    <row r="28"/>
    <row r="29"/>
    <row r="30"/>
  </sheetData>
  <mergeCells count="1">
    <mergeCell ref="A27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2026-10-12T23:52:48Z</dcterms:created>
  <dcterms:modified xsi:type="dcterms:W3CDTF">2026-10-12T23:52:48Z</dcterms:modified>
</cp:coreProperties>
</file>